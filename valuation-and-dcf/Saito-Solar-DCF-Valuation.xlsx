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Petitt\ASU Dropbox\Barbara Petitt\Degree Programs\TGM 517\1 Spring 2025\Sessions\Session 6\"/>
    </mc:Choice>
  </mc:AlternateContent>
  <xr:revisionPtr revIDLastSave="0" documentId="13_ncr:1_{5215F8C3-77DF-4E3D-9003-2B15AF86A966}" xr6:coauthVersionLast="36" xr6:coauthVersionMax="47" xr10:uidLastSave="{00000000-0000-0000-0000-000000000000}"/>
  <bookViews>
    <workbookView xWindow="28680" yWindow="-120" windowWidth="29040" windowHeight="15720" xr2:uid="{21C0A4E0-A3F7-4CB5-A34D-F45A4BA46B76}"/>
  </bookViews>
  <sheets>
    <sheet name="Appendix 3" sheetId="1" r:id="rId1"/>
    <sheet name="Scenario 1" sheetId="11" r:id="rId2"/>
    <sheet name="Scenario 2" sheetId="12" r:id="rId3"/>
    <sheet name="Scenario 3" sheetId="13" r:id="rId4"/>
    <sheet name="Scenario 4" sheetId="14" r:id="rId5"/>
    <sheet name="Scenario 5" sheetId="4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5" i="4" l="1"/>
  <c r="E14" i="4"/>
  <c r="E13" i="4"/>
  <c r="E12" i="4"/>
  <c r="E11" i="4"/>
  <c r="C18" i="14" l="1"/>
  <c r="D9" i="14"/>
  <c r="D14" i="14" s="1"/>
  <c r="D18" i="14" s="1"/>
  <c r="D9" i="13"/>
  <c r="D13" i="13"/>
  <c r="C17" i="12"/>
  <c r="D9" i="12"/>
  <c r="D13" i="12" s="1"/>
  <c r="D17" i="12" s="1"/>
  <c r="D9" i="11"/>
  <c r="D12" i="11" s="1"/>
  <c r="T30" i="1" l="1"/>
  <c r="U30" i="1"/>
  <c r="V30" i="1"/>
  <c r="W30" i="1"/>
  <c r="S30" i="1"/>
  <c r="U32" i="1"/>
  <c r="V32" i="1"/>
  <c r="W32" i="1"/>
  <c r="T32" i="1"/>
  <c r="S32" i="1"/>
  <c r="U28" i="1"/>
  <c r="V28" i="1"/>
  <c r="W28" i="1"/>
  <c r="T28" i="1"/>
  <c r="S28" i="1"/>
  <c r="T22" i="1"/>
  <c r="U22" i="1"/>
  <c r="V22" i="1"/>
  <c r="W22" i="1"/>
  <c r="S22" i="1"/>
  <c r="Q22" i="1"/>
  <c r="T13" i="1"/>
  <c r="U13" i="1"/>
  <c r="V13" i="1"/>
  <c r="W13" i="1"/>
  <c r="T14" i="1"/>
  <c r="U14" i="1"/>
  <c r="V14" i="1"/>
  <c r="W14" i="1"/>
  <c r="S14" i="1"/>
  <c r="S13" i="1"/>
  <c r="Q14" i="1"/>
  <c r="Q13" i="1"/>
  <c r="T9" i="1"/>
  <c r="U9" i="1"/>
  <c r="V9" i="1"/>
  <c r="W9" i="1"/>
  <c r="S9" i="1"/>
  <c r="Q9" i="1"/>
  <c r="U8" i="1"/>
  <c r="V8" i="1"/>
  <c r="W8" i="1"/>
  <c r="T8" i="1"/>
  <c r="S8" i="1"/>
  <c r="I12" i="4" l="1"/>
  <c r="I13" i="4"/>
  <c r="I14" i="4"/>
  <c r="E16" i="4"/>
  <c r="I15" i="4" s="1"/>
  <c r="I11" i="4"/>
  <c r="G10" i="1"/>
  <c r="G15" i="1" s="1"/>
  <c r="H10" i="1"/>
  <c r="H11" i="1" s="1"/>
  <c r="I10" i="1"/>
  <c r="I11" i="1" s="1"/>
  <c r="J10" i="1"/>
  <c r="J11" i="1" s="1"/>
  <c r="K10" i="1"/>
  <c r="K11" i="1" s="1"/>
  <c r="E10" i="1"/>
  <c r="E11" i="1" s="1"/>
  <c r="I18" i="4" l="1"/>
  <c r="C37" i="4" s="1"/>
  <c r="G11" i="1"/>
  <c r="E15" i="1"/>
  <c r="E16" i="1" s="1"/>
  <c r="K15" i="1"/>
  <c r="G16" i="1"/>
  <c r="G19" i="1"/>
  <c r="J15" i="1"/>
  <c r="I15" i="1"/>
  <c r="H15" i="1"/>
  <c r="E19" i="1"/>
  <c r="D22" i="4" l="1"/>
  <c r="D29" i="4"/>
  <c r="K19" i="1"/>
  <c r="K16" i="1"/>
  <c r="I19" i="1"/>
  <c r="I16" i="1"/>
  <c r="G23" i="1"/>
  <c r="G20" i="1"/>
  <c r="E23" i="1"/>
  <c r="E20" i="1"/>
  <c r="H16" i="1"/>
  <c r="H19" i="1"/>
  <c r="J19" i="1"/>
  <c r="J16" i="1"/>
  <c r="K23" i="1" l="1"/>
  <c r="K20" i="1"/>
  <c r="I20" i="1"/>
  <c r="I23" i="1"/>
  <c r="E24" i="1"/>
  <c r="E26" i="1"/>
  <c r="E32" i="1" s="1"/>
  <c r="G24" i="1"/>
  <c r="G26" i="1"/>
  <c r="G32" i="1" s="1"/>
  <c r="J20" i="1"/>
  <c r="J23" i="1"/>
  <c r="H20" i="1"/>
  <c r="H23" i="1"/>
  <c r="K26" i="1" l="1"/>
  <c r="K32" i="1" s="1"/>
  <c r="K24" i="1"/>
  <c r="J26" i="1"/>
  <c r="J32" i="1" s="1"/>
  <c r="J24" i="1"/>
  <c r="H26" i="1"/>
  <c r="H32" i="1" s="1"/>
  <c r="H24" i="1"/>
  <c r="I26" i="1"/>
  <c r="I32" i="1" s="1"/>
  <c r="I24" i="1"/>
</calcChain>
</file>

<file path=xl/sharedStrings.xml><?xml version="1.0" encoding="utf-8"?>
<sst xmlns="http://schemas.openxmlformats.org/spreadsheetml/2006/main" count="78" uniqueCount="52">
  <si>
    <t>Actual</t>
  </si>
  <si>
    <t>Projected</t>
  </si>
  <si>
    <t>Sales</t>
  </si>
  <si>
    <t>COGS</t>
  </si>
  <si>
    <t xml:space="preserve">   Gross Margin (%)</t>
  </si>
  <si>
    <t>EBITDA</t>
  </si>
  <si>
    <t>Depreciation</t>
  </si>
  <si>
    <t>EBT</t>
  </si>
  <si>
    <t>Taxes</t>
  </si>
  <si>
    <t>Change in NWC</t>
  </si>
  <si>
    <t>Growth rate</t>
  </si>
  <si>
    <t>Cost of capital</t>
  </si>
  <si>
    <t>Time</t>
  </si>
  <si>
    <t>Year</t>
  </si>
  <si>
    <t>FCF</t>
  </si>
  <si>
    <t>Appendix 3</t>
  </si>
  <si>
    <t>Gross Margin</t>
  </si>
  <si>
    <t>Marketing &amp; Selling</t>
  </si>
  <si>
    <t>G&amp;A Expenses</t>
  </si>
  <si>
    <t xml:space="preserve">   EBITDA Margin (%)</t>
  </si>
  <si>
    <t xml:space="preserve">   EBT Margin (%)</t>
  </si>
  <si>
    <t>Net Income</t>
  </si>
  <si>
    <t xml:space="preserve">   Return on Sales (%)</t>
  </si>
  <si>
    <t>Operating Cash Flow</t>
  </si>
  <si>
    <t>Change in Capex</t>
  </si>
  <si>
    <t>Free Cash Flow</t>
  </si>
  <si>
    <t>Cost of Capital</t>
  </si>
  <si>
    <t>Growth Rate</t>
  </si>
  <si>
    <t>Number of Periods</t>
  </si>
  <si>
    <t>Scenario 5</t>
  </si>
  <si>
    <t>Growth Rate and Cost of Capital</t>
  </si>
  <si>
    <t>Continuing Value</t>
  </si>
  <si>
    <t>Sensitivity Analysis</t>
  </si>
  <si>
    <t>Sensitivity Analyses</t>
  </si>
  <si>
    <t>Growth Rate in Sales</t>
  </si>
  <si>
    <t>COGS % Sales</t>
  </si>
  <si>
    <t>Marketing &amp; Selling % Sales</t>
  </si>
  <si>
    <t>G&amp;A Expenses % Sales</t>
  </si>
  <si>
    <t>Effective Tax Rate</t>
  </si>
  <si>
    <t>Growth Rate in NWC</t>
  </si>
  <si>
    <t>Selected Ratios</t>
  </si>
  <si>
    <t>Capex % Depreciation</t>
  </si>
  <si>
    <t>Growth Rate in Free Cash Flow</t>
  </si>
  <si>
    <t>Scenario 1: Perpetuity</t>
  </si>
  <si>
    <t>(Constant) Cash Flow</t>
  </si>
  <si>
    <t>Discount Rate</t>
  </si>
  <si>
    <t>Present Value</t>
  </si>
  <si>
    <t>Looking for the…</t>
  </si>
  <si>
    <t>(Next) Cash Flow</t>
  </si>
  <si>
    <t>Scenario 2: Growing Perpetuity</t>
  </si>
  <si>
    <t>Scenario 3: Annuity</t>
  </si>
  <si>
    <t>Scenario 4: Growing Annuity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</si>
</sst>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#,##0.0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i/>
      <sz val="12"/>
      <color theme="1"/>
      <name val="Times New Roman"/>
      <family val="1"/>
    </font>
    <font>
      <sz val="12"/>
      <color rgb="FF00B0F0"/>
      <name val="Times New Roman"/>
      <family val="1"/>
    </font>
    <font>
      <sz val="12"/>
      <color rgb="FFFF0000"/>
      <name val="Times New Roman"/>
      <family val="1"/>
    </font>
    <font>
      <b/>
      <i/>
      <sz val="12"/>
      <color theme="1"/>
      <name val="Times New Roman"/>
      <family val="1"/>
    </font>
    <font>
      <b/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rgb="FF0070C0"/>
      <name val="Times New Roman"/>
      <family val="1"/>
    </font>
    <font>
      <i/>
      <sz val="12"/>
      <color rgb="FF0070C0"/>
      <name val="Times New Roman"/>
      <family val="1"/>
    </font>
    <font>
      <b/>
      <i/>
      <sz val="12"/>
      <color rgb="FF0070C0"/>
      <name val="Times New Roman"/>
      <family val="1"/>
    </font>
    <font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8">
    <xf numFmtId="0" fontId="0" fillId="0" borderId="0" xfId="0"/>
    <xf numFmtId="0" fontId="2" fillId="0" borderId="0" xfId="0" applyFont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0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2" fillId="0" borderId="0" xfId="0" applyFont="1" applyFill="1" applyBorder="1"/>
    <xf numFmtId="164" fontId="2" fillId="0" borderId="0" xfId="0" applyNumberFormat="1" applyFont="1" applyBorder="1" applyAlignment="1">
      <alignment horizontal="left"/>
    </xf>
    <xf numFmtId="3" fontId="6" fillId="0" borderId="0" xfId="0" applyNumberFormat="1" applyFont="1" applyBorder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right"/>
    </xf>
    <xf numFmtId="0" fontId="2" fillId="0" borderId="1" xfId="0" applyFont="1" applyBorder="1"/>
    <xf numFmtId="0" fontId="2" fillId="0" borderId="1" xfId="0" applyFont="1" applyBorder="1" applyAlignment="1">
      <alignment horizontal="right"/>
    </xf>
    <xf numFmtId="0" fontId="3" fillId="0" borderId="1" xfId="0" applyFont="1" applyBorder="1" applyAlignment="1">
      <alignment horizontal="center"/>
    </xf>
    <xf numFmtId="0" fontId="2" fillId="0" borderId="0" xfId="0" applyFont="1" applyBorder="1" applyAlignment="1">
      <alignment horizontal="left"/>
    </xf>
    <xf numFmtId="0" fontId="3" fillId="0" borderId="1" xfId="0" applyFont="1" applyBorder="1" applyAlignment="1">
      <alignment horizontal="right"/>
    </xf>
    <xf numFmtId="0" fontId="2" fillId="0" borderId="3" xfId="0" applyFont="1" applyBorder="1" applyAlignment="1">
      <alignment horizontal="left"/>
    </xf>
    <xf numFmtId="0" fontId="2" fillId="0" borderId="3" xfId="0" applyFont="1" applyBorder="1" applyAlignment="1">
      <alignment horizontal="right"/>
    </xf>
    <xf numFmtId="0" fontId="2" fillId="0" borderId="0" xfId="0" applyFont="1" applyBorder="1" applyAlignment="1">
      <alignment horizontal="right"/>
    </xf>
    <xf numFmtId="0" fontId="2" fillId="0" borderId="5" xfId="0" applyFont="1" applyBorder="1" applyAlignment="1">
      <alignment horizontal="right"/>
    </xf>
    <xf numFmtId="0" fontId="2" fillId="0" borderId="6" xfId="0" applyFont="1" applyBorder="1" applyAlignment="1">
      <alignment horizontal="right"/>
    </xf>
    <xf numFmtId="9" fontId="5" fillId="0" borderId="0" xfId="0" applyNumberFormat="1" applyFont="1" applyBorder="1"/>
    <xf numFmtId="0" fontId="2" fillId="0" borderId="0" xfId="0" applyFont="1" applyBorder="1" applyAlignment="1">
      <alignment horizontal="center"/>
    </xf>
    <xf numFmtId="0" fontId="3" fillId="0" borderId="0" xfId="0" applyFont="1" applyBorder="1" applyAlignment="1">
      <alignment horizontal="left"/>
    </xf>
    <xf numFmtId="3" fontId="6" fillId="0" borderId="0" xfId="0" applyNumberFormat="1" applyFont="1" applyBorder="1" applyAlignment="1">
      <alignment horizontal="right"/>
    </xf>
    <xf numFmtId="165" fontId="6" fillId="0" borderId="0" xfId="0" applyNumberFormat="1" applyFont="1" applyBorder="1" applyAlignment="1">
      <alignment horizontal="center"/>
    </xf>
    <xf numFmtId="164" fontId="2" fillId="0" borderId="0" xfId="0" applyNumberFormat="1" applyFont="1" applyBorder="1" applyAlignment="1">
      <alignment horizontal="right"/>
    </xf>
    <xf numFmtId="0" fontId="2" fillId="0" borderId="8" xfId="0" applyFont="1" applyBorder="1" applyAlignment="1">
      <alignment horizontal="left"/>
    </xf>
    <xf numFmtId="0" fontId="2" fillId="0" borderId="8" xfId="0" applyFont="1" applyBorder="1" applyAlignment="1">
      <alignment horizontal="right"/>
    </xf>
    <xf numFmtId="0" fontId="2" fillId="0" borderId="1" xfId="0" applyFont="1" applyBorder="1" applyAlignment="1">
      <alignment horizontal="left"/>
    </xf>
    <xf numFmtId="0" fontId="2" fillId="0" borderId="0" xfId="0" applyFont="1" applyAlignment="1">
      <alignment vertical="top"/>
    </xf>
    <xf numFmtId="0" fontId="2" fillId="0" borderId="0" xfId="0" applyFont="1" applyBorder="1" applyAlignment="1">
      <alignment vertical="top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vertical="top"/>
    </xf>
    <xf numFmtId="0" fontId="2" fillId="0" borderId="4" xfId="0" applyFont="1" applyBorder="1" applyAlignment="1">
      <alignment vertical="top"/>
    </xf>
    <xf numFmtId="0" fontId="2" fillId="0" borderId="5" xfId="0" applyFont="1" applyBorder="1" applyAlignment="1">
      <alignment vertical="top"/>
    </xf>
    <xf numFmtId="0" fontId="2" fillId="0" borderId="6" xfId="0" applyFont="1" applyBorder="1" applyAlignment="1">
      <alignment vertical="top"/>
    </xf>
    <xf numFmtId="0" fontId="3" fillId="0" borderId="0" xfId="0" applyFont="1" applyBorder="1" applyAlignment="1">
      <alignment horizontal="right" vertical="top"/>
    </xf>
    <xf numFmtId="0" fontId="3" fillId="0" borderId="1" xfId="0" applyFont="1" applyBorder="1" applyAlignment="1">
      <alignment vertical="top"/>
    </xf>
    <xf numFmtId="0" fontId="3" fillId="0" borderId="0" xfId="0" applyFont="1" applyBorder="1" applyAlignment="1">
      <alignment vertical="top"/>
    </xf>
    <xf numFmtId="165" fontId="2" fillId="0" borderId="0" xfId="0" applyNumberFormat="1" applyFont="1" applyBorder="1" applyAlignment="1">
      <alignment vertical="top"/>
    </xf>
    <xf numFmtId="0" fontId="4" fillId="0" borderId="5" xfId="0" applyFont="1" applyBorder="1" applyAlignment="1">
      <alignment vertical="top"/>
    </xf>
    <xf numFmtId="0" fontId="4" fillId="0" borderId="0" xfId="0" applyFont="1" applyBorder="1" applyAlignment="1">
      <alignment vertical="top"/>
    </xf>
    <xf numFmtId="0" fontId="4" fillId="0" borderId="6" xfId="0" applyFont="1" applyBorder="1" applyAlignment="1">
      <alignment vertical="top"/>
    </xf>
    <xf numFmtId="0" fontId="4" fillId="0" borderId="0" xfId="0" applyFont="1" applyAlignment="1">
      <alignment vertical="top"/>
    </xf>
    <xf numFmtId="0" fontId="7" fillId="0" borderId="5" xfId="0" applyFont="1" applyBorder="1" applyAlignment="1">
      <alignment vertical="top"/>
    </xf>
    <xf numFmtId="0" fontId="7" fillId="0" borderId="0" xfId="0" applyFont="1" applyBorder="1" applyAlignment="1">
      <alignment vertical="top"/>
    </xf>
    <xf numFmtId="0" fontId="7" fillId="0" borderId="6" xfId="0" applyFont="1" applyBorder="1" applyAlignment="1">
      <alignment vertical="top"/>
    </xf>
    <xf numFmtId="0" fontId="7" fillId="0" borderId="0" xfId="0" applyFont="1" applyAlignment="1">
      <alignment vertical="top"/>
    </xf>
    <xf numFmtId="0" fontId="2" fillId="0" borderId="7" xfId="0" applyFont="1" applyBorder="1" applyAlignment="1">
      <alignment vertical="top"/>
    </xf>
    <xf numFmtId="0" fontId="2" fillId="0" borderId="8" xfId="0" applyFont="1" applyBorder="1" applyAlignment="1">
      <alignment vertical="top"/>
    </xf>
    <xf numFmtId="165" fontId="2" fillId="0" borderId="8" xfId="0" applyNumberFormat="1" applyFont="1" applyBorder="1" applyAlignment="1">
      <alignment vertical="top"/>
    </xf>
    <xf numFmtId="0" fontId="2" fillId="0" borderId="9" xfId="0" applyFont="1" applyBorder="1" applyAlignment="1">
      <alignment vertical="top"/>
    </xf>
    <xf numFmtId="165" fontId="2" fillId="0" borderId="0" xfId="0" applyNumberFormat="1" applyFont="1" applyAlignment="1">
      <alignment vertical="top"/>
    </xf>
    <xf numFmtId="0" fontId="2" fillId="0" borderId="1" xfId="0" applyFont="1" applyFill="1" applyBorder="1" applyAlignment="1">
      <alignment vertical="top"/>
    </xf>
    <xf numFmtId="164" fontId="2" fillId="0" borderId="0" xfId="0" applyNumberFormat="1" applyFont="1" applyBorder="1" applyAlignment="1">
      <alignment horizontal="left" vertical="top"/>
    </xf>
    <xf numFmtId="4" fontId="6" fillId="0" borderId="0" xfId="0" applyNumberFormat="1" applyFont="1" applyBorder="1"/>
    <xf numFmtId="0" fontId="3" fillId="0" borderId="1" xfId="0" applyFont="1" applyBorder="1" applyAlignment="1">
      <alignment horizontal="left"/>
    </xf>
    <xf numFmtId="165" fontId="10" fillId="0" borderId="0" xfId="0" applyNumberFormat="1" applyFont="1" applyBorder="1" applyAlignment="1">
      <alignment vertical="top"/>
    </xf>
    <xf numFmtId="165" fontId="10" fillId="0" borderId="1" xfId="0" applyNumberFormat="1" applyFont="1" applyBorder="1" applyAlignment="1">
      <alignment vertical="top"/>
    </xf>
    <xf numFmtId="164" fontId="11" fillId="0" borderId="0" xfId="1" applyNumberFormat="1" applyFont="1" applyBorder="1" applyAlignment="1">
      <alignment vertical="top"/>
    </xf>
    <xf numFmtId="165" fontId="12" fillId="0" borderId="0" xfId="0" applyNumberFormat="1" applyFont="1" applyBorder="1" applyAlignment="1">
      <alignment vertical="top"/>
    </xf>
    <xf numFmtId="0" fontId="13" fillId="0" borderId="0" xfId="0" applyFont="1" applyBorder="1" applyAlignment="1">
      <alignment horizontal="right"/>
    </xf>
    <xf numFmtId="0" fontId="3" fillId="0" borderId="1" xfId="0" applyFont="1" applyBorder="1" applyAlignment="1">
      <alignment horizontal="center" vertical="top"/>
    </xf>
    <xf numFmtId="0" fontId="8" fillId="0" borderId="0" xfId="0" applyFont="1" applyBorder="1" applyAlignment="1">
      <alignment horizontal="left" vertical="top"/>
    </xf>
    <xf numFmtId="0" fontId="8" fillId="0" borderId="0" xfId="0" applyFont="1" applyBorder="1" applyAlignment="1">
      <alignment horizontal="left"/>
    </xf>
    <xf numFmtId="0" fontId="9" fillId="0" borderId="0" xfId="0" applyFont="1" applyBorder="1" applyAlignment="1">
      <alignment horizontal="left" wrapText="1"/>
    </xf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 vertical="top"/>
    </xf>
    <xf numFmtId="164" fontId="2" fillId="2" borderId="0" xfId="1" applyNumberFormat="1" applyFont="1" applyFill="1" applyBorder="1" applyAlignment="1">
      <alignment vertical="top"/>
    </xf>
    <xf numFmtId="0" fontId="2" fillId="2" borderId="0" xfId="0" applyFont="1" applyFill="1" applyBorder="1" applyAlignment="1">
      <alignment vertical="top"/>
    </xf>
    <xf numFmtId="4" fontId="10" fillId="2" borderId="0" xfId="0" applyNumberFormat="1" applyFont="1" applyFill="1" applyBorder="1"/>
    <xf numFmtId="10" fontId="10" fillId="2" borderId="0" xfId="0" applyNumberFormat="1" applyFont="1" applyFill="1" applyBorder="1"/>
    <xf numFmtId="10" fontId="10" fillId="2" borderId="0" xfId="1" applyNumberFormat="1" applyFont="1" applyFill="1" applyBorder="1"/>
    <xf numFmtId="3" fontId="2" fillId="2" borderId="1" xfId="0" applyNumberFormat="1" applyFont="1" applyFill="1" applyBorder="1" applyAlignment="1">
      <alignment vertical="top"/>
    </xf>
    <xf numFmtId="3" fontId="2" fillId="2" borderId="0" xfId="0" applyNumberFormat="1" applyFont="1" applyFill="1" applyBorder="1" applyAlignment="1">
      <alignment vertical="top"/>
    </xf>
    <xf numFmtId="3" fontId="10" fillId="2" borderId="0" xfId="0" applyNumberFormat="1" applyFont="1" applyFill="1" applyBorder="1"/>
    <xf numFmtId="164" fontId="10" fillId="2" borderId="0" xfId="0" applyNumberFormat="1" applyFont="1" applyFill="1" applyBorder="1"/>
    <xf numFmtId="165" fontId="2" fillId="2" borderId="0" xfId="0" applyNumberFormat="1" applyFont="1" applyFill="1" applyBorder="1" applyAlignment="1">
      <alignment horizontal="right"/>
    </xf>
    <xf numFmtId="3" fontId="6" fillId="2" borderId="0" xfId="0" applyNumberFormat="1" applyFont="1" applyFill="1" applyBorder="1" applyAlignment="1">
      <alignment horizontal="right"/>
    </xf>
    <xf numFmtId="3" fontId="2" fillId="2" borderId="1" xfId="0" applyNumberFormat="1" applyFont="1" applyFill="1" applyBorder="1" applyAlignment="1">
      <alignment horizontal="right"/>
    </xf>
    <xf numFmtId="3" fontId="2" fillId="2" borderId="0" xfId="0" applyNumberFormat="1" applyFont="1" applyFill="1" applyBorder="1" applyAlignment="1">
      <alignment horizontal="right"/>
    </xf>
    <xf numFmtId="3" fontId="2" fillId="2" borderId="0" xfId="0" applyNumberFormat="1" applyFont="1" applyFill="1" applyBorder="1" applyAlignment="1">
      <alignment horizontal="left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F82C3-CD4B-43CD-860B-BDDB5CA0D02F}">
  <sheetPr>
    <pageSetUpPr fitToPage="1"/>
  </sheetPr>
  <dimension ref="B1:X39"/>
  <sheetViews>
    <sheetView showGridLines="0" tabSelected="1" workbookViewId="0">
      <selection activeCell="C3" sqref="C3:K3"/>
    </sheetView>
  </sheetViews>
  <sheetFormatPr defaultColWidth="12.7109375" defaultRowHeight="15.95" customHeight="1" x14ac:dyDescent="0.25"/>
  <cols>
    <col min="1" max="2" width="2.7109375" style="35" customWidth="1"/>
    <col min="3" max="3" width="24.7109375" style="35" customWidth="1"/>
    <col min="4" max="4" width="2.7109375" style="35" customWidth="1"/>
    <col min="5" max="5" width="12.7109375" style="35"/>
    <col min="6" max="6" width="2.7109375" style="35" customWidth="1"/>
    <col min="7" max="11" width="12.7109375" style="35"/>
    <col min="12" max="14" width="2.7109375" style="35" customWidth="1"/>
    <col min="15" max="15" width="34.7109375" style="35" customWidth="1"/>
    <col min="16" max="16" width="2.7109375" style="35" customWidth="1"/>
    <col min="17" max="17" width="12.7109375" style="35"/>
    <col min="18" max="18" width="2.7109375" style="36" customWidth="1"/>
    <col min="19" max="23" width="12.7109375" style="35"/>
    <col min="24" max="24" width="2.7109375" style="35" customWidth="1"/>
    <col min="25" max="16384" width="12.7109375" style="35"/>
  </cols>
  <sheetData>
    <row r="1" spans="2:24" ht="15.95" customHeight="1" thickBot="1" x14ac:dyDescent="0.3"/>
    <row r="2" spans="2:24" ht="15.95" customHeight="1" x14ac:dyDescent="0.25">
      <c r="B2" s="37"/>
      <c r="C2" s="38"/>
      <c r="D2" s="38"/>
      <c r="E2" s="38"/>
      <c r="F2" s="38"/>
      <c r="G2" s="38"/>
      <c r="H2" s="38"/>
      <c r="I2" s="38"/>
      <c r="J2" s="38"/>
      <c r="K2" s="38"/>
      <c r="L2" s="39"/>
      <c r="M2" s="36"/>
      <c r="N2" s="37"/>
      <c r="O2" s="38"/>
      <c r="P2" s="38"/>
      <c r="Q2" s="38"/>
      <c r="R2" s="38"/>
      <c r="S2" s="38"/>
      <c r="T2" s="38"/>
      <c r="U2" s="38"/>
      <c r="V2" s="38"/>
      <c r="W2" s="38"/>
      <c r="X2" s="39"/>
    </row>
    <row r="3" spans="2:24" ht="15.95" customHeight="1" x14ac:dyDescent="0.25">
      <c r="B3" s="40"/>
      <c r="C3" s="69" t="s">
        <v>15</v>
      </c>
      <c r="D3" s="69"/>
      <c r="E3" s="69"/>
      <c r="F3" s="69"/>
      <c r="G3" s="69"/>
      <c r="H3" s="69"/>
      <c r="I3" s="69"/>
      <c r="J3" s="69"/>
      <c r="K3" s="69"/>
      <c r="L3" s="41"/>
      <c r="M3" s="36"/>
      <c r="N3" s="40"/>
      <c r="O3" s="69" t="s">
        <v>40</v>
      </c>
      <c r="P3" s="69"/>
      <c r="Q3" s="69"/>
      <c r="R3" s="69"/>
      <c r="S3" s="69"/>
      <c r="T3" s="69"/>
      <c r="U3" s="69"/>
      <c r="V3" s="69"/>
      <c r="W3" s="69"/>
      <c r="X3" s="41"/>
    </row>
    <row r="4" spans="2:24" ht="15.95" customHeight="1" x14ac:dyDescent="0.25">
      <c r="B4" s="40"/>
      <c r="C4" s="36"/>
      <c r="D4" s="36"/>
      <c r="E4" s="36"/>
      <c r="F4" s="36"/>
      <c r="G4" s="36"/>
      <c r="H4" s="36"/>
      <c r="I4" s="36"/>
      <c r="J4" s="36"/>
      <c r="K4" s="36"/>
      <c r="L4" s="41"/>
      <c r="M4" s="36"/>
      <c r="N4" s="40"/>
      <c r="O4" s="36"/>
      <c r="P4" s="36"/>
      <c r="Q4" s="36"/>
      <c r="S4" s="36"/>
      <c r="T4" s="36"/>
      <c r="U4" s="36"/>
      <c r="V4" s="36"/>
      <c r="W4" s="36"/>
      <c r="X4" s="41"/>
    </row>
    <row r="5" spans="2:24" ht="15.95" customHeight="1" x14ac:dyDescent="0.25">
      <c r="B5" s="40"/>
      <c r="C5" s="36"/>
      <c r="D5" s="36"/>
      <c r="E5" s="42" t="s">
        <v>0</v>
      </c>
      <c r="F5" s="42"/>
      <c r="G5" s="68" t="s">
        <v>1</v>
      </c>
      <c r="H5" s="68"/>
      <c r="I5" s="68"/>
      <c r="J5" s="68"/>
      <c r="K5" s="68"/>
      <c r="L5" s="41"/>
      <c r="M5" s="36"/>
      <c r="N5" s="40"/>
      <c r="O5" s="36"/>
      <c r="P5" s="36"/>
      <c r="Q5" s="42" t="s">
        <v>0</v>
      </c>
      <c r="R5" s="42"/>
      <c r="S5" s="68" t="s">
        <v>1</v>
      </c>
      <c r="T5" s="68"/>
      <c r="U5" s="68"/>
      <c r="V5" s="68"/>
      <c r="W5" s="68"/>
      <c r="X5" s="41"/>
    </row>
    <row r="6" spans="2:24" ht="15.95" customHeight="1" x14ac:dyDescent="0.25">
      <c r="B6" s="40"/>
      <c r="C6" s="36"/>
      <c r="D6" s="36"/>
      <c r="E6" s="43">
        <v>2012</v>
      </c>
      <c r="F6" s="44"/>
      <c r="G6" s="43">
        <v>2013</v>
      </c>
      <c r="H6" s="43">
        <v>2014</v>
      </c>
      <c r="I6" s="43">
        <v>2015</v>
      </c>
      <c r="J6" s="43">
        <v>2016</v>
      </c>
      <c r="K6" s="43">
        <v>2017</v>
      </c>
      <c r="L6" s="41"/>
      <c r="M6" s="36"/>
      <c r="N6" s="40"/>
      <c r="O6" s="36"/>
      <c r="P6" s="36"/>
      <c r="Q6" s="43">
        <v>2012</v>
      </c>
      <c r="R6" s="44"/>
      <c r="S6" s="43">
        <v>2013</v>
      </c>
      <c r="T6" s="43">
        <v>2014</v>
      </c>
      <c r="U6" s="43">
        <v>2015</v>
      </c>
      <c r="V6" s="43">
        <v>2016</v>
      </c>
      <c r="W6" s="43">
        <v>2017</v>
      </c>
      <c r="X6" s="41"/>
    </row>
    <row r="7" spans="2:24" ht="15.95" customHeight="1" x14ac:dyDescent="0.25">
      <c r="B7" s="40"/>
      <c r="C7" s="36"/>
      <c r="D7" s="36"/>
      <c r="E7" s="36"/>
      <c r="F7" s="36"/>
      <c r="G7" s="36"/>
      <c r="H7" s="36"/>
      <c r="I7" s="36"/>
      <c r="J7" s="36"/>
      <c r="K7" s="36"/>
      <c r="L7" s="41"/>
      <c r="M7" s="36"/>
      <c r="N7" s="40"/>
      <c r="R7" s="35"/>
      <c r="X7" s="41"/>
    </row>
    <row r="8" spans="2:24" ht="15.95" customHeight="1" x14ac:dyDescent="0.25">
      <c r="B8" s="40"/>
      <c r="C8" s="36" t="s">
        <v>2</v>
      </c>
      <c r="D8" s="36"/>
      <c r="E8" s="63">
        <v>6234.1</v>
      </c>
      <c r="F8" s="63"/>
      <c r="G8" s="63">
        <v>7792.6</v>
      </c>
      <c r="H8" s="63">
        <v>9351.2000000000007</v>
      </c>
      <c r="I8" s="63">
        <v>10753.8</v>
      </c>
      <c r="J8" s="63">
        <v>11829.2</v>
      </c>
      <c r="K8" s="63">
        <v>12420.7</v>
      </c>
      <c r="L8" s="41"/>
      <c r="M8" s="36"/>
      <c r="N8" s="40"/>
      <c r="O8" s="36" t="s">
        <v>34</v>
      </c>
      <c r="P8" s="36"/>
      <c r="Q8" s="36"/>
      <c r="S8" s="74">
        <f>(G8-E8)/E8</f>
        <v>0.24999598979804621</v>
      </c>
      <c r="T8" s="74">
        <f>(H8-G8)/G8</f>
        <v>0.20001026614993717</v>
      </c>
      <c r="U8" s="74">
        <f t="shared" ref="U8:W8" si="0">(I8-H8)/H8</f>
        <v>0.14999144494824176</v>
      </c>
      <c r="V8" s="74">
        <f t="shared" si="0"/>
        <v>0.10000185980769602</v>
      </c>
      <c r="W8" s="74">
        <f t="shared" si="0"/>
        <v>5.0003381462820816E-2</v>
      </c>
      <c r="X8" s="41"/>
    </row>
    <row r="9" spans="2:24" ht="15.95" customHeight="1" x14ac:dyDescent="0.25">
      <c r="B9" s="40"/>
      <c r="C9" s="36" t="s">
        <v>3</v>
      </c>
      <c r="D9" s="36"/>
      <c r="E9" s="64">
        <v>4041.9</v>
      </c>
      <c r="F9" s="63"/>
      <c r="G9" s="64">
        <v>4994.8</v>
      </c>
      <c r="H9" s="64">
        <v>5993.8</v>
      </c>
      <c r="I9" s="64">
        <v>6892.8</v>
      </c>
      <c r="J9" s="64">
        <v>7582.1</v>
      </c>
      <c r="K9" s="64">
        <v>7961.2</v>
      </c>
      <c r="L9" s="41"/>
      <c r="M9" s="36"/>
      <c r="N9" s="40"/>
      <c r="O9" s="36" t="s">
        <v>35</v>
      </c>
      <c r="P9" s="36"/>
      <c r="Q9" s="74">
        <f>E9/E8</f>
        <v>0.64835341107778188</v>
      </c>
      <c r="S9" s="74">
        <f>G9/G8</f>
        <v>0.64096707132407671</v>
      </c>
      <c r="T9" s="74">
        <f t="shared" ref="T9:W9" si="1">H9/H8</f>
        <v>0.64096586534348532</v>
      </c>
      <c r="U9" s="74">
        <f t="shared" si="1"/>
        <v>0.64096412430954641</v>
      </c>
      <c r="V9" s="74">
        <f t="shared" si="1"/>
        <v>0.64096473134277887</v>
      </c>
      <c r="W9" s="74">
        <f t="shared" si="1"/>
        <v>0.64096226460666461</v>
      </c>
      <c r="X9" s="41"/>
    </row>
    <row r="10" spans="2:24" ht="15.95" customHeight="1" x14ac:dyDescent="0.25">
      <c r="B10" s="40"/>
      <c r="C10" s="36" t="s">
        <v>16</v>
      </c>
      <c r="D10" s="36"/>
      <c r="E10" s="63">
        <f>E8-E9</f>
        <v>2192.2000000000003</v>
      </c>
      <c r="F10" s="63"/>
      <c r="G10" s="63">
        <f t="shared" ref="G10:K10" si="2">G8-G9</f>
        <v>2797.8</v>
      </c>
      <c r="H10" s="63">
        <f t="shared" si="2"/>
        <v>3357.4000000000005</v>
      </c>
      <c r="I10" s="63">
        <f t="shared" si="2"/>
        <v>3860.9999999999991</v>
      </c>
      <c r="J10" s="63">
        <f t="shared" si="2"/>
        <v>4247.1000000000004</v>
      </c>
      <c r="K10" s="63">
        <f t="shared" si="2"/>
        <v>4459.5000000000009</v>
      </c>
      <c r="L10" s="41"/>
      <c r="M10" s="36"/>
      <c r="N10" s="40"/>
      <c r="O10" s="36"/>
      <c r="P10" s="36"/>
      <c r="Q10" s="36"/>
      <c r="S10" s="36"/>
      <c r="T10" s="36"/>
      <c r="U10" s="36"/>
      <c r="V10" s="36"/>
      <c r="W10" s="36"/>
      <c r="X10" s="41"/>
    </row>
    <row r="11" spans="2:24" s="49" customFormat="1" ht="15.95" customHeight="1" x14ac:dyDescent="0.25">
      <c r="B11" s="46"/>
      <c r="C11" s="47" t="s">
        <v>4</v>
      </c>
      <c r="D11" s="47"/>
      <c r="E11" s="65">
        <f>E10/E8</f>
        <v>0.35164658892221817</v>
      </c>
      <c r="F11" s="65"/>
      <c r="G11" s="65">
        <f t="shared" ref="G11:K11" si="3">G10/G8</f>
        <v>0.35903292867592329</v>
      </c>
      <c r="H11" s="65">
        <f t="shared" si="3"/>
        <v>0.35903413465651468</v>
      </c>
      <c r="I11" s="65">
        <f t="shared" si="3"/>
        <v>0.35903587569045353</v>
      </c>
      <c r="J11" s="65">
        <f t="shared" si="3"/>
        <v>0.35903526865722113</v>
      </c>
      <c r="K11" s="65">
        <f t="shared" si="3"/>
        <v>0.35903773539333539</v>
      </c>
      <c r="L11" s="48"/>
      <c r="M11" s="47"/>
      <c r="N11" s="46"/>
      <c r="O11" s="47"/>
      <c r="P11" s="47"/>
      <c r="Q11" s="47"/>
      <c r="R11" s="47"/>
      <c r="S11" s="47"/>
      <c r="T11" s="47"/>
      <c r="U11" s="47"/>
      <c r="V11" s="47"/>
      <c r="W11" s="47"/>
      <c r="X11" s="48"/>
    </row>
    <row r="12" spans="2:24" ht="15.95" customHeight="1" x14ac:dyDescent="0.25">
      <c r="B12" s="40"/>
      <c r="C12" s="36"/>
      <c r="D12" s="36"/>
      <c r="E12" s="36"/>
      <c r="F12" s="36"/>
      <c r="G12" s="36"/>
      <c r="H12" s="36"/>
      <c r="I12" s="36"/>
      <c r="J12" s="36"/>
      <c r="K12" s="36"/>
      <c r="L12" s="41"/>
      <c r="M12" s="36"/>
      <c r="N12" s="40"/>
      <c r="O12" s="36"/>
      <c r="P12" s="36"/>
      <c r="Q12" s="36"/>
      <c r="S12" s="36"/>
      <c r="T12" s="36"/>
      <c r="U12" s="36"/>
      <c r="V12" s="36"/>
      <c r="W12" s="36"/>
      <c r="X12" s="41"/>
    </row>
    <row r="13" spans="2:24" ht="15.95" customHeight="1" x14ac:dyDescent="0.25">
      <c r="B13" s="40"/>
      <c r="C13" s="36" t="s">
        <v>17</v>
      </c>
      <c r="D13" s="36"/>
      <c r="E13" s="63">
        <v>1030.2</v>
      </c>
      <c r="F13" s="63"/>
      <c r="G13" s="63">
        <v>1202</v>
      </c>
      <c r="H13" s="63">
        <v>1344.2</v>
      </c>
      <c r="I13" s="63">
        <v>1504.4</v>
      </c>
      <c r="J13" s="63">
        <v>1722.9</v>
      </c>
      <c r="K13" s="63">
        <v>1875</v>
      </c>
      <c r="L13" s="41"/>
      <c r="M13" s="36"/>
      <c r="N13" s="40"/>
      <c r="O13" s="36" t="s">
        <v>36</v>
      </c>
      <c r="P13" s="36"/>
      <c r="Q13" s="74">
        <f>E13/E8</f>
        <v>0.16525240211097031</v>
      </c>
      <c r="S13" s="74">
        <f>G13/G8</f>
        <v>0.15424890280522546</v>
      </c>
      <c r="T13" s="74">
        <f t="shared" ref="T13:W13" si="4">H13/H8</f>
        <v>0.14374625716485584</v>
      </c>
      <c r="U13" s="74">
        <f t="shared" si="4"/>
        <v>0.13989473488441298</v>
      </c>
      <c r="V13" s="74">
        <f t="shared" si="4"/>
        <v>0.14564805734960945</v>
      </c>
      <c r="W13" s="74">
        <f t="shared" si="4"/>
        <v>0.15095767549332967</v>
      </c>
      <c r="X13" s="41"/>
    </row>
    <row r="14" spans="2:24" ht="15.95" customHeight="1" x14ac:dyDescent="0.25">
      <c r="B14" s="40"/>
      <c r="C14" s="36" t="s">
        <v>18</v>
      </c>
      <c r="D14" s="36"/>
      <c r="E14" s="64">
        <v>569</v>
      </c>
      <c r="F14" s="63"/>
      <c r="G14" s="64">
        <v>660.2</v>
      </c>
      <c r="H14" s="64">
        <v>960</v>
      </c>
      <c r="I14" s="64">
        <v>1134.2</v>
      </c>
      <c r="J14" s="64">
        <v>1180.2</v>
      </c>
      <c r="K14" s="64">
        <v>1200</v>
      </c>
      <c r="L14" s="41"/>
      <c r="M14" s="36"/>
      <c r="N14" s="40"/>
      <c r="O14" s="36" t="s">
        <v>37</v>
      </c>
      <c r="P14" s="36"/>
      <c r="Q14" s="74">
        <f>E14/E8</f>
        <v>9.1272196467814121E-2</v>
      </c>
      <c r="S14" s="74">
        <f>G14/G8</f>
        <v>8.4721402356081416E-2</v>
      </c>
      <c r="T14" s="74">
        <f t="shared" ref="T14:W14" si="5">H14/H8</f>
        <v>0.10266062109675762</v>
      </c>
      <c r="U14" s="74">
        <f t="shared" si="5"/>
        <v>0.10546969443359558</v>
      </c>
      <c r="V14" s="74">
        <f t="shared" si="5"/>
        <v>9.977006052818449E-2</v>
      </c>
      <c r="W14" s="74">
        <f t="shared" si="5"/>
        <v>9.6612912315730992E-2</v>
      </c>
      <c r="X14" s="41"/>
    </row>
    <row r="15" spans="2:24" ht="15.95" customHeight="1" x14ac:dyDescent="0.25">
      <c r="B15" s="40"/>
      <c r="C15" s="36" t="s">
        <v>5</v>
      </c>
      <c r="D15" s="36"/>
      <c r="E15" s="63">
        <f>E10-E13-E14</f>
        <v>593.00000000000023</v>
      </c>
      <c r="F15" s="63"/>
      <c r="G15" s="63">
        <f t="shared" ref="G15:K15" si="6">G10-G13-G14</f>
        <v>935.60000000000014</v>
      </c>
      <c r="H15" s="63">
        <f t="shared" si="6"/>
        <v>1053.2000000000005</v>
      </c>
      <c r="I15" s="63">
        <f t="shared" si="6"/>
        <v>1222.399999999999</v>
      </c>
      <c r="J15" s="63">
        <f t="shared" si="6"/>
        <v>1344.0000000000002</v>
      </c>
      <c r="K15" s="63">
        <f t="shared" si="6"/>
        <v>1384.5000000000009</v>
      </c>
      <c r="L15" s="41"/>
      <c r="M15" s="36"/>
      <c r="N15" s="40"/>
      <c r="O15" s="36"/>
      <c r="P15" s="36"/>
      <c r="Q15" s="36"/>
      <c r="S15" s="36"/>
      <c r="T15" s="36"/>
      <c r="U15" s="36"/>
      <c r="V15" s="36"/>
      <c r="W15" s="36"/>
      <c r="X15" s="41"/>
    </row>
    <row r="16" spans="2:24" s="49" customFormat="1" ht="15.95" customHeight="1" x14ac:dyDescent="0.25">
      <c r="B16" s="46"/>
      <c r="C16" s="47" t="s">
        <v>19</v>
      </c>
      <c r="D16" s="47"/>
      <c r="E16" s="65">
        <f>E15/E8</f>
        <v>9.5121990343433729E-2</v>
      </c>
      <c r="F16" s="65"/>
      <c r="G16" s="65">
        <f t="shared" ref="G16:K16" si="7">G15/G8</f>
        <v>0.12006262351461644</v>
      </c>
      <c r="H16" s="65">
        <f t="shared" si="7"/>
        <v>0.11262725639490123</v>
      </c>
      <c r="I16" s="65">
        <f t="shared" si="7"/>
        <v>0.113671446372445</v>
      </c>
      <c r="J16" s="65">
        <f t="shared" si="7"/>
        <v>0.11361715077942719</v>
      </c>
      <c r="K16" s="65">
        <f t="shared" si="7"/>
        <v>0.1114671475842747</v>
      </c>
      <c r="L16" s="48"/>
      <c r="M16" s="47"/>
      <c r="N16" s="46"/>
      <c r="O16" s="47"/>
      <c r="P16" s="47"/>
      <c r="Q16" s="47"/>
      <c r="R16" s="47"/>
      <c r="S16" s="47"/>
      <c r="T16" s="47"/>
      <c r="U16" s="47"/>
      <c r="V16" s="47"/>
      <c r="W16" s="47"/>
      <c r="X16" s="48"/>
    </row>
    <row r="17" spans="2:24" ht="15.95" customHeight="1" x14ac:dyDescent="0.25">
      <c r="B17" s="40"/>
      <c r="C17" s="36"/>
      <c r="D17" s="36"/>
      <c r="E17" s="45"/>
      <c r="F17" s="45"/>
      <c r="G17" s="45"/>
      <c r="H17" s="45"/>
      <c r="I17" s="45"/>
      <c r="J17" s="45"/>
      <c r="K17" s="45"/>
      <c r="L17" s="41"/>
      <c r="M17" s="36"/>
      <c r="N17" s="40"/>
      <c r="O17" s="36"/>
      <c r="P17" s="36"/>
      <c r="Q17" s="36"/>
      <c r="S17" s="36"/>
      <c r="T17" s="36"/>
      <c r="U17" s="36"/>
      <c r="V17" s="36"/>
      <c r="W17" s="36"/>
      <c r="X17" s="41"/>
    </row>
    <row r="18" spans="2:24" ht="15.95" customHeight="1" x14ac:dyDescent="0.25">
      <c r="B18" s="40"/>
      <c r="C18" s="36" t="s">
        <v>6</v>
      </c>
      <c r="D18" s="36"/>
      <c r="E18" s="63">
        <v>156.4</v>
      </c>
      <c r="F18" s="63"/>
      <c r="G18" s="63">
        <v>174.4</v>
      </c>
      <c r="H18" s="63">
        <v>190</v>
      </c>
      <c r="I18" s="63">
        <v>200</v>
      </c>
      <c r="J18" s="63">
        <v>220.5</v>
      </c>
      <c r="K18" s="63">
        <v>250</v>
      </c>
      <c r="L18" s="41"/>
      <c r="M18" s="36"/>
      <c r="N18" s="40"/>
      <c r="O18" s="36"/>
      <c r="P18" s="36"/>
      <c r="Q18" s="36"/>
      <c r="S18" s="36"/>
      <c r="T18" s="36"/>
      <c r="U18" s="36"/>
      <c r="V18" s="36"/>
      <c r="W18" s="36"/>
      <c r="X18" s="41"/>
    </row>
    <row r="19" spans="2:24" ht="15.95" customHeight="1" x14ac:dyDescent="0.25">
      <c r="B19" s="40"/>
      <c r="C19" s="36" t="s">
        <v>7</v>
      </c>
      <c r="D19" s="36"/>
      <c r="E19" s="63">
        <f>E15-E18</f>
        <v>436.60000000000025</v>
      </c>
      <c r="F19" s="63"/>
      <c r="G19" s="63">
        <f t="shared" ref="G19:K19" si="8">G15-G18</f>
        <v>761.20000000000016</v>
      </c>
      <c r="H19" s="63">
        <f t="shared" si="8"/>
        <v>863.2000000000005</v>
      </c>
      <c r="I19" s="63">
        <f t="shared" si="8"/>
        <v>1022.399999999999</v>
      </c>
      <c r="J19" s="63">
        <f t="shared" si="8"/>
        <v>1123.5000000000002</v>
      </c>
      <c r="K19" s="63">
        <f t="shared" si="8"/>
        <v>1134.5000000000009</v>
      </c>
      <c r="L19" s="41"/>
      <c r="M19" s="36"/>
      <c r="N19" s="40"/>
      <c r="O19" s="36"/>
      <c r="P19" s="36"/>
      <c r="Q19" s="36"/>
      <c r="S19" s="36"/>
      <c r="T19" s="36"/>
      <c r="U19" s="36"/>
      <c r="V19" s="36"/>
      <c r="W19" s="36"/>
      <c r="X19" s="41"/>
    </row>
    <row r="20" spans="2:24" s="49" customFormat="1" ht="15.95" customHeight="1" x14ac:dyDescent="0.25">
      <c r="B20" s="46"/>
      <c r="C20" s="47" t="s">
        <v>20</v>
      </c>
      <c r="D20" s="47"/>
      <c r="E20" s="65">
        <f>E19/E8</f>
        <v>7.0034166920646165E-2</v>
      </c>
      <c r="F20" s="65"/>
      <c r="G20" s="65">
        <f t="shared" ref="G20:K20" si="9">G19/G8</f>
        <v>9.768241665169522E-2</v>
      </c>
      <c r="H20" s="65">
        <f t="shared" si="9"/>
        <v>9.2309008469501283E-2</v>
      </c>
      <c r="I20" s="65">
        <f t="shared" si="9"/>
        <v>9.5073369413602546E-2</v>
      </c>
      <c r="J20" s="65">
        <f t="shared" si="9"/>
        <v>9.4976836979677418E-2</v>
      </c>
      <c r="K20" s="65">
        <f t="shared" si="9"/>
        <v>9.1339457518497411E-2</v>
      </c>
      <c r="L20" s="48"/>
      <c r="M20" s="47"/>
      <c r="N20" s="46"/>
      <c r="O20" s="47"/>
      <c r="P20" s="47"/>
      <c r="Q20" s="47"/>
      <c r="R20" s="47"/>
      <c r="S20" s="47"/>
      <c r="T20" s="47"/>
      <c r="U20" s="47"/>
      <c r="V20" s="47"/>
      <c r="W20" s="47"/>
      <c r="X20" s="48"/>
    </row>
    <row r="21" spans="2:24" ht="15.95" customHeight="1" x14ac:dyDescent="0.25">
      <c r="B21" s="40"/>
      <c r="C21" s="36"/>
      <c r="D21" s="36"/>
      <c r="E21" s="45"/>
      <c r="F21" s="45"/>
      <c r="G21" s="45"/>
      <c r="H21" s="45"/>
      <c r="I21" s="45"/>
      <c r="J21" s="45"/>
      <c r="K21" s="45"/>
      <c r="L21" s="41"/>
      <c r="M21" s="36"/>
      <c r="N21" s="40"/>
      <c r="O21" s="36"/>
      <c r="P21" s="36"/>
      <c r="Q21" s="36"/>
      <c r="S21" s="36"/>
      <c r="T21" s="36"/>
      <c r="U21" s="36"/>
      <c r="V21" s="36"/>
      <c r="W21" s="36"/>
      <c r="X21" s="41"/>
    </row>
    <row r="22" spans="2:24" ht="15.95" customHeight="1" x14ac:dyDescent="0.25">
      <c r="B22" s="40"/>
      <c r="C22" s="36" t="s">
        <v>8</v>
      </c>
      <c r="D22" s="36"/>
      <c r="E22" s="63">
        <v>172.5</v>
      </c>
      <c r="F22" s="63"/>
      <c r="G22" s="63">
        <v>289.3</v>
      </c>
      <c r="H22" s="63">
        <v>328</v>
      </c>
      <c r="I22" s="63">
        <v>388.5</v>
      </c>
      <c r="J22" s="63">
        <v>426.9</v>
      </c>
      <c r="K22" s="63">
        <v>431.1</v>
      </c>
      <c r="L22" s="41"/>
      <c r="M22" s="36"/>
      <c r="N22" s="40"/>
      <c r="O22" s="36" t="s">
        <v>38</v>
      </c>
      <c r="P22" s="36"/>
      <c r="Q22" s="74">
        <f>E22/E19</f>
        <v>0.3950984883188271</v>
      </c>
      <c r="R22" s="75"/>
      <c r="S22" s="74">
        <f>G22/G19</f>
        <v>0.38005780346820806</v>
      </c>
      <c r="T22" s="74">
        <f t="shared" ref="T22:W22" si="10">H22/H19</f>
        <v>0.37998146431881352</v>
      </c>
      <c r="U22" s="74">
        <f t="shared" si="10"/>
        <v>0.37998826291079851</v>
      </c>
      <c r="V22" s="74">
        <f t="shared" si="10"/>
        <v>0.37997329773030697</v>
      </c>
      <c r="W22" s="74">
        <f t="shared" si="10"/>
        <v>0.37999118554429234</v>
      </c>
      <c r="X22" s="41"/>
    </row>
    <row r="23" spans="2:24" ht="15.95" customHeight="1" x14ac:dyDescent="0.25">
      <c r="B23" s="40"/>
      <c r="C23" s="36" t="s">
        <v>21</v>
      </c>
      <c r="D23" s="36"/>
      <c r="E23" s="63">
        <f>E19-E22</f>
        <v>264.10000000000025</v>
      </c>
      <c r="F23" s="63"/>
      <c r="G23" s="63">
        <f t="shared" ref="G23:K23" si="11">G19-G22</f>
        <v>471.90000000000015</v>
      </c>
      <c r="H23" s="63">
        <f t="shared" si="11"/>
        <v>535.2000000000005</v>
      </c>
      <c r="I23" s="63">
        <f t="shared" si="11"/>
        <v>633.89999999999895</v>
      </c>
      <c r="J23" s="63">
        <f t="shared" si="11"/>
        <v>696.60000000000025</v>
      </c>
      <c r="K23" s="63">
        <f t="shared" si="11"/>
        <v>703.40000000000089</v>
      </c>
      <c r="L23" s="41"/>
      <c r="M23" s="36"/>
      <c r="N23" s="40"/>
      <c r="O23" s="36"/>
      <c r="P23" s="36"/>
      <c r="Q23" s="36"/>
      <c r="S23" s="36"/>
      <c r="T23" s="36"/>
      <c r="U23" s="36"/>
      <c r="V23" s="36"/>
      <c r="W23" s="36"/>
      <c r="X23" s="41"/>
    </row>
    <row r="24" spans="2:24" s="49" customFormat="1" ht="15.95" customHeight="1" x14ac:dyDescent="0.25">
      <c r="B24" s="46"/>
      <c r="C24" s="47" t="s">
        <v>22</v>
      </c>
      <c r="D24" s="47"/>
      <c r="E24" s="65">
        <f>E23/E8</f>
        <v>4.2363773439630457E-2</v>
      </c>
      <c r="F24" s="65"/>
      <c r="G24" s="65">
        <f t="shared" ref="G24:K24" si="12">G23/G8</f>
        <v>6.055745194158562E-2</v>
      </c>
      <c r="H24" s="65">
        <f t="shared" si="12"/>
        <v>5.7233296261442433E-2</v>
      </c>
      <c r="I24" s="65">
        <f t="shared" si="12"/>
        <v>5.8946604921051068E-2</v>
      </c>
      <c r="J24" s="65">
        <f t="shared" si="12"/>
        <v>5.888817502451562E-2</v>
      </c>
      <c r="K24" s="65">
        <f t="shared" si="12"/>
        <v>5.6631268769071055E-2</v>
      </c>
      <c r="L24" s="48"/>
      <c r="M24" s="47"/>
      <c r="N24" s="46"/>
      <c r="O24" s="47"/>
      <c r="P24" s="47"/>
      <c r="Q24" s="47"/>
      <c r="R24" s="47"/>
      <c r="S24" s="47"/>
      <c r="T24" s="47"/>
      <c r="U24" s="47"/>
      <c r="V24" s="47"/>
      <c r="W24" s="47"/>
      <c r="X24" s="48"/>
    </row>
    <row r="25" spans="2:24" ht="15.95" customHeight="1" x14ac:dyDescent="0.25">
      <c r="B25" s="40"/>
      <c r="C25" s="36"/>
      <c r="D25" s="36"/>
      <c r="E25" s="45"/>
      <c r="F25" s="45"/>
      <c r="G25" s="45"/>
      <c r="H25" s="45"/>
      <c r="I25" s="45"/>
      <c r="J25" s="45"/>
      <c r="K25" s="45"/>
      <c r="L25" s="41"/>
      <c r="M25" s="36"/>
      <c r="N25" s="40"/>
      <c r="O25" s="36"/>
      <c r="P25" s="36"/>
      <c r="Q25" s="36"/>
      <c r="S25" s="36"/>
      <c r="T25" s="36"/>
      <c r="U25" s="36"/>
      <c r="V25" s="36"/>
      <c r="W25" s="36"/>
      <c r="X25" s="41"/>
    </row>
    <row r="26" spans="2:24" s="53" customFormat="1" ht="15.95" customHeight="1" x14ac:dyDescent="0.25">
      <c r="B26" s="50"/>
      <c r="C26" s="51" t="s">
        <v>23</v>
      </c>
      <c r="D26" s="51"/>
      <c r="E26" s="66">
        <f>E23+E18</f>
        <v>420.50000000000023</v>
      </c>
      <c r="F26" s="66"/>
      <c r="G26" s="66">
        <f t="shared" ref="G26:K26" si="13">G23+G18</f>
        <v>646.30000000000018</v>
      </c>
      <c r="H26" s="66">
        <f t="shared" si="13"/>
        <v>725.2000000000005</v>
      </c>
      <c r="I26" s="66">
        <f t="shared" si="13"/>
        <v>833.89999999999895</v>
      </c>
      <c r="J26" s="66">
        <f t="shared" si="13"/>
        <v>917.10000000000025</v>
      </c>
      <c r="K26" s="66">
        <f t="shared" si="13"/>
        <v>953.40000000000089</v>
      </c>
      <c r="L26" s="52"/>
      <c r="M26" s="51"/>
      <c r="N26" s="50"/>
      <c r="O26" s="51"/>
      <c r="P26" s="51"/>
      <c r="Q26" s="51"/>
      <c r="R26" s="51"/>
      <c r="S26" s="51"/>
      <c r="T26" s="51"/>
      <c r="U26" s="51"/>
      <c r="V26" s="51"/>
      <c r="W26" s="51"/>
      <c r="X26" s="52"/>
    </row>
    <row r="27" spans="2:24" ht="15.95" customHeight="1" x14ac:dyDescent="0.25">
      <c r="B27" s="40"/>
      <c r="C27" s="36"/>
      <c r="D27" s="36"/>
      <c r="E27" s="45"/>
      <c r="F27" s="45"/>
      <c r="G27" s="45"/>
      <c r="H27" s="45"/>
      <c r="I27" s="45"/>
      <c r="J27" s="45"/>
      <c r="K27" s="45"/>
      <c r="L27" s="41"/>
      <c r="M27" s="36"/>
      <c r="N27" s="40"/>
      <c r="O27" s="36"/>
      <c r="P27" s="36"/>
      <c r="Q27" s="36"/>
      <c r="S27" s="36"/>
      <c r="T27" s="36"/>
      <c r="U27" s="36"/>
      <c r="V27" s="36"/>
      <c r="W27" s="36"/>
      <c r="X27" s="41"/>
    </row>
    <row r="28" spans="2:24" ht="15.95" customHeight="1" x14ac:dyDescent="0.25">
      <c r="B28" s="40"/>
      <c r="C28" s="36" t="s">
        <v>9</v>
      </c>
      <c r="D28" s="36"/>
      <c r="E28" s="63">
        <v>-170.4</v>
      </c>
      <c r="F28" s="63"/>
      <c r="G28" s="63">
        <v>-200</v>
      </c>
      <c r="H28" s="63">
        <v>-210</v>
      </c>
      <c r="I28" s="63">
        <v>-245</v>
      </c>
      <c r="J28" s="63">
        <v>-260</v>
      </c>
      <c r="K28" s="63">
        <v>-275</v>
      </c>
      <c r="L28" s="41"/>
      <c r="M28" s="36"/>
      <c r="N28" s="40"/>
      <c r="O28" s="36" t="s">
        <v>39</v>
      </c>
      <c r="P28" s="36"/>
      <c r="Q28" s="36"/>
      <c r="S28" s="74">
        <f>(G28-E28)/E28</f>
        <v>0.17370892018779338</v>
      </c>
      <c r="T28" s="74">
        <f>(H28-G28)/G28</f>
        <v>0.05</v>
      </c>
      <c r="U28" s="74">
        <f t="shared" ref="U28:W28" si="14">(I28-H28)/H28</f>
        <v>0.16666666666666666</v>
      </c>
      <c r="V28" s="74">
        <f t="shared" si="14"/>
        <v>6.1224489795918366E-2</v>
      </c>
      <c r="W28" s="74">
        <f t="shared" si="14"/>
        <v>5.7692307692307696E-2</v>
      </c>
      <c r="X28" s="41"/>
    </row>
    <row r="29" spans="2:24" ht="15.95" customHeight="1" x14ac:dyDescent="0.25">
      <c r="B29" s="40"/>
      <c r="C29" s="36"/>
      <c r="D29" s="36"/>
      <c r="E29" s="45"/>
      <c r="F29" s="45"/>
      <c r="G29" s="45"/>
      <c r="H29" s="45"/>
      <c r="I29" s="45"/>
      <c r="J29" s="45"/>
      <c r="K29" s="45"/>
      <c r="L29" s="41"/>
      <c r="M29" s="36"/>
      <c r="N29" s="40"/>
      <c r="O29" s="36"/>
      <c r="P29" s="36"/>
      <c r="Q29" s="36"/>
      <c r="S29" s="36"/>
      <c r="T29" s="36"/>
      <c r="U29" s="36"/>
      <c r="V29" s="36"/>
      <c r="W29" s="36"/>
      <c r="X29" s="41"/>
    </row>
    <row r="30" spans="2:24" ht="15.95" customHeight="1" x14ac:dyDescent="0.25">
      <c r="B30" s="40"/>
      <c r="C30" s="36" t="s">
        <v>24</v>
      </c>
      <c r="D30" s="36"/>
      <c r="E30" s="63">
        <v>0</v>
      </c>
      <c r="F30" s="63"/>
      <c r="G30" s="63">
        <v>-50</v>
      </c>
      <c r="H30" s="63">
        <v>-50</v>
      </c>
      <c r="I30" s="63">
        <v>-50</v>
      </c>
      <c r="J30" s="63">
        <v>-50</v>
      </c>
      <c r="K30" s="63">
        <v>-50</v>
      </c>
      <c r="L30" s="41"/>
      <c r="M30" s="36"/>
      <c r="N30" s="40"/>
      <c r="O30" s="36" t="s">
        <v>41</v>
      </c>
      <c r="P30" s="36"/>
      <c r="Q30" s="36"/>
      <c r="S30" s="74">
        <f>-G30/G18</f>
        <v>0.28669724770642202</v>
      </c>
      <c r="T30" s="74">
        <f t="shared" ref="T30:W30" si="15">-H30/H18</f>
        <v>0.26315789473684209</v>
      </c>
      <c r="U30" s="74">
        <f t="shared" si="15"/>
        <v>0.25</v>
      </c>
      <c r="V30" s="74">
        <f t="shared" si="15"/>
        <v>0.22675736961451248</v>
      </c>
      <c r="W30" s="74">
        <f t="shared" si="15"/>
        <v>0.2</v>
      </c>
      <c r="X30" s="41"/>
    </row>
    <row r="31" spans="2:24" ht="15.95" customHeight="1" x14ac:dyDescent="0.25">
      <c r="B31" s="40"/>
      <c r="C31" s="36"/>
      <c r="D31" s="36"/>
      <c r="E31" s="45"/>
      <c r="F31" s="45"/>
      <c r="G31" s="45"/>
      <c r="H31" s="45"/>
      <c r="I31" s="45"/>
      <c r="J31" s="45"/>
      <c r="K31" s="45"/>
      <c r="L31" s="41"/>
      <c r="M31" s="36"/>
      <c r="N31" s="40"/>
      <c r="O31" s="36"/>
      <c r="P31" s="36"/>
      <c r="Q31" s="36"/>
      <c r="S31" s="36"/>
      <c r="T31" s="36"/>
      <c r="U31" s="36"/>
      <c r="V31" s="36"/>
      <c r="W31" s="36"/>
      <c r="X31" s="41"/>
    </row>
    <row r="32" spans="2:24" s="53" customFormat="1" ht="15.95" customHeight="1" x14ac:dyDescent="0.25">
      <c r="B32" s="50"/>
      <c r="C32" s="51" t="s">
        <v>25</v>
      </c>
      <c r="D32" s="51"/>
      <c r="E32" s="66">
        <f>E26+E28+E30</f>
        <v>250.10000000000022</v>
      </c>
      <c r="F32" s="66"/>
      <c r="G32" s="66">
        <f t="shared" ref="G32:K32" si="16">G26+G28+G30</f>
        <v>396.30000000000018</v>
      </c>
      <c r="H32" s="66">
        <f t="shared" si="16"/>
        <v>465.2000000000005</v>
      </c>
      <c r="I32" s="66">
        <f t="shared" si="16"/>
        <v>538.89999999999895</v>
      </c>
      <c r="J32" s="66">
        <f t="shared" si="16"/>
        <v>607.10000000000025</v>
      </c>
      <c r="K32" s="66">
        <f t="shared" si="16"/>
        <v>628.40000000000089</v>
      </c>
      <c r="L32" s="52"/>
      <c r="M32" s="51"/>
      <c r="N32" s="50"/>
      <c r="O32" s="36" t="s">
        <v>42</v>
      </c>
      <c r="P32" s="36"/>
      <c r="Q32" s="36"/>
      <c r="R32" s="36"/>
      <c r="S32" s="74">
        <f>(G32-E32)/E32</f>
        <v>0.58456617353058704</v>
      </c>
      <c r="T32" s="74">
        <f>(H32-G32)/G32</f>
        <v>0.17385818824123211</v>
      </c>
      <c r="U32" s="74">
        <f t="shared" ref="U32:W32" si="17">(I32-H32)/H32</f>
        <v>0.15842648323301456</v>
      </c>
      <c r="V32" s="74">
        <f t="shared" si="17"/>
        <v>0.12655409166821568</v>
      </c>
      <c r="W32" s="74">
        <f t="shared" si="17"/>
        <v>3.5084829517378728E-2</v>
      </c>
      <c r="X32" s="52"/>
    </row>
    <row r="33" spans="2:24" ht="15.95" customHeight="1" thickBot="1" x14ac:dyDescent="0.3">
      <c r="B33" s="54"/>
      <c r="C33" s="55"/>
      <c r="D33" s="55"/>
      <c r="E33" s="56"/>
      <c r="F33" s="56"/>
      <c r="G33" s="56"/>
      <c r="H33" s="56"/>
      <c r="I33" s="56"/>
      <c r="J33" s="56"/>
      <c r="K33" s="56"/>
      <c r="L33" s="57"/>
      <c r="M33" s="36"/>
      <c r="N33" s="54"/>
      <c r="O33" s="55"/>
      <c r="P33" s="55"/>
      <c r="Q33" s="55"/>
      <c r="R33" s="55"/>
      <c r="S33" s="55"/>
      <c r="T33" s="55"/>
      <c r="U33" s="55"/>
      <c r="V33" s="55"/>
      <c r="W33" s="55"/>
      <c r="X33" s="57"/>
    </row>
    <row r="34" spans="2:24" ht="15.95" customHeight="1" x14ac:dyDescent="0.25">
      <c r="E34" s="58"/>
      <c r="F34" s="58"/>
      <c r="G34" s="58"/>
      <c r="H34" s="58"/>
      <c r="I34" s="58"/>
      <c r="J34" s="58"/>
      <c r="K34" s="58"/>
    </row>
    <row r="35" spans="2:24" ht="15.95" customHeight="1" x14ac:dyDescent="0.25">
      <c r="E35" s="58"/>
      <c r="F35" s="58"/>
      <c r="G35" s="58"/>
      <c r="H35" s="58"/>
      <c r="I35" s="58"/>
      <c r="J35" s="58"/>
      <c r="K35" s="58"/>
    </row>
    <row r="36" spans="2:24" ht="15.95" customHeight="1" x14ac:dyDescent="0.25">
      <c r="E36" s="58"/>
      <c r="F36" s="58"/>
      <c r="G36" s="58"/>
      <c r="H36" s="58"/>
      <c r="I36" s="58"/>
      <c r="J36" s="58"/>
      <c r="K36" s="58"/>
    </row>
    <row r="37" spans="2:24" ht="15.95" customHeight="1" x14ac:dyDescent="0.25">
      <c r="E37" s="58"/>
      <c r="F37" s="58"/>
      <c r="G37" s="58"/>
      <c r="H37" s="58"/>
      <c r="I37" s="58"/>
      <c r="J37" s="58"/>
      <c r="K37" s="58"/>
    </row>
    <row r="38" spans="2:24" ht="15.95" customHeight="1" x14ac:dyDescent="0.25">
      <c r="E38" s="58"/>
      <c r="F38" s="58"/>
      <c r="G38" s="58"/>
      <c r="H38" s="58"/>
      <c r="I38" s="58"/>
      <c r="J38" s="58"/>
      <c r="K38" s="58"/>
    </row>
    <row r="39" spans="2:24" ht="15.95" customHeight="1" x14ac:dyDescent="0.25">
      <c r="E39" s="58"/>
      <c r="F39" s="58"/>
      <c r="G39" s="58"/>
      <c r="H39" s="58"/>
      <c r="I39" s="58"/>
      <c r="J39" s="58"/>
      <c r="K39" s="58"/>
    </row>
  </sheetData>
  <mergeCells count="4">
    <mergeCell ref="G5:K5"/>
    <mergeCell ref="C3:K3"/>
    <mergeCell ref="O3:W3"/>
    <mergeCell ref="S5:W5"/>
  </mergeCells>
  <pageMargins left="0.2" right="0.2" top="0.25" bottom="0.25" header="0.05" footer="0.05"/>
  <pageSetup scale="56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965FF-08DF-4CB5-9D91-23B66695620E}">
  <sheetPr>
    <pageSetUpPr fitToPage="1"/>
  </sheetPr>
  <dimension ref="B1:E13"/>
  <sheetViews>
    <sheetView showGridLines="0" workbookViewId="0">
      <selection activeCell="C3" sqref="C3:D3"/>
    </sheetView>
  </sheetViews>
  <sheetFormatPr defaultColWidth="12.7109375" defaultRowHeight="15.75" x14ac:dyDescent="0.25"/>
  <cols>
    <col min="1" max="2" width="2.7109375" style="6" customWidth="1"/>
    <col min="3" max="3" width="24.7109375" style="6" customWidth="1"/>
    <col min="4" max="4" width="12.7109375" style="6"/>
    <col min="5" max="5" width="2.7109375" style="6" customWidth="1"/>
    <col min="6" max="16384" width="12.7109375" style="6"/>
  </cols>
  <sheetData>
    <row r="1" spans="2:5" ht="16.5" thickBot="1" x14ac:dyDescent="0.3"/>
    <row r="2" spans="2:5" x14ac:dyDescent="0.25">
      <c r="B2" s="2"/>
      <c r="C2" s="3"/>
      <c r="D2" s="3"/>
      <c r="E2" s="4"/>
    </row>
    <row r="3" spans="2:5" x14ac:dyDescent="0.25">
      <c r="B3" s="5"/>
      <c r="C3" s="70" t="s">
        <v>43</v>
      </c>
      <c r="D3" s="70"/>
      <c r="E3" s="7"/>
    </row>
    <row r="4" spans="2:5" x14ac:dyDescent="0.25">
      <c r="B4" s="5"/>
      <c r="E4" s="7"/>
    </row>
    <row r="5" spans="2:5" x14ac:dyDescent="0.25">
      <c r="B5" s="5"/>
      <c r="C5" s="71" t="s">
        <v>47</v>
      </c>
      <c r="D5" s="71"/>
      <c r="E5" s="7"/>
    </row>
    <row r="6" spans="2:5" x14ac:dyDescent="0.25">
      <c r="B6" s="5"/>
      <c r="E6" s="7"/>
    </row>
    <row r="7" spans="2:5" x14ac:dyDescent="0.25">
      <c r="B7" s="5"/>
      <c r="C7" s="72" t="s">
        <v>46</v>
      </c>
      <c r="D7" s="72"/>
      <c r="E7" s="7"/>
    </row>
    <row r="8" spans="2:5" x14ac:dyDescent="0.25">
      <c r="B8" s="5"/>
      <c r="E8" s="7"/>
    </row>
    <row r="9" spans="2:5" x14ac:dyDescent="0.25">
      <c r="B9" s="5"/>
      <c r="C9" s="6" t="s">
        <v>44</v>
      </c>
      <c r="D9" s="76">
        <f>'Appendix 3'!E32</f>
        <v>250.10000000000022</v>
      </c>
      <c r="E9" s="7"/>
    </row>
    <row r="10" spans="2:5" x14ac:dyDescent="0.25">
      <c r="B10" s="5"/>
      <c r="C10" s="6" t="s">
        <v>45</v>
      </c>
      <c r="D10" s="77">
        <v>0.1</v>
      </c>
      <c r="E10" s="7"/>
    </row>
    <row r="11" spans="2:5" x14ac:dyDescent="0.25">
      <c r="B11" s="5"/>
      <c r="E11" s="7"/>
    </row>
    <row r="12" spans="2:5" x14ac:dyDescent="0.25">
      <c r="B12" s="5"/>
      <c r="C12" s="6" t="s">
        <v>46</v>
      </c>
      <c r="D12" s="13">
        <f>D9/D10</f>
        <v>2501.0000000000023</v>
      </c>
      <c r="E12" s="7"/>
    </row>
    <row r="13" spans="2:5" ht="16.5" thickBot="1" x14ac:dyDescent="0.3">
      <c r="B13" s="8"/>
      <c r="C13" s="9"/>
      <c r="D13" s="9"/>
      <c r="E13" s="10"/>
    </row>
  </sheetData>
  <mergeCells count="3">
    <mergeCell ref="C3:D3"/>
    <mergeCell ref="C5:D5"/>
    <mergeCell ref="C7:D7"/>
  </mergeCells>
  <pageMargins left="0.7" right="0.7" top="0.75" bottom="0.7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BAB63-BB3B-46DC-829E-A85AC3DE2813}">
  <sheetPr>
    <pageSetUpPr fitToPage="1"/>
  </sheetPr>
  <dimension ref="B1:E23"/>
  <sheetViews>
    <sheetView showGridLines="0" workbookViewId="0">
      <selection activeCell="C3" sqref="C3:D3"/>
    </sheetView>
  </sheetViews>
  <sheetFormatPr defaultColWidth="12.7109375" defaultRowHeight="15.75" x14ac:dyDescent="0.25"/>
  <cols>
    <col min="1" max="2" width="2.7109375" style="6" customWidth="1"/>
    <col min="3" max="3" width="24.7109375" style="6" customWidth="1"/>
    <col min="4" max="4" width="12.7109375" style="6"/>
    <col min="5" max="5" width="2.7109375" style="6" customWidth="1"/>
    <col min="6" max="16384" width="12.7109375" style="6"/>
  </cols>
  <sheetData>
    <row r="1" spans="2:5" ht="16.5" thickBot="1" x14ac:dyDescent="0.3"/>
    <row r="2" spans="2:5" x14ac:dyDescent="0.25">
      <c r="B2" s="2"/>
      <c r="C2" s="3"/>
      <c r="D2" s="3"/>
      <c r="E2" s="4"/>
    </row>
    <row r="3" spans="2:5" x14ac:dyDescent="0.25">
      <c r="B3" s="5"/>
      <c r="C3" s="70" t="s">
        <v>49</v>
      </c>
      <c r="D3" s="70"/>
      <c r="E3" s="7"/>
    </row>
    <row r="4" spans="2:5" x14ac:dyDescent="0.25">
      <c r="B4" s="5"/>
      <c r="E4" s="7"/>
    </row>
    <row r="5" spans="2:5" x14ac:dyDescent="0.25">
      <c r="B5" s="5"/>
      <c r="C5" s="71" t="s">
        <v>47</v>
      </c>
      <c r="D5" s="71"/>
      <c r="E5" s="7"/>
    </row>
    <row r="6" spans="2:5" x14ac:dyDescent="0.25">
      <c r="B6" s="5"/>
      <c r="E6" s="7"/>
    </row>
    <row r="7" spans="2:5" x14ac:dyDescent="0.25">
      <c r="B7" s="5"/>
      <c r="C7" s="72" t="s">
        <v>46</v>
      </c>
      <c r="D7" s="72"/>
      <c r="E7" s="7"/>
    </row>
    <row r="8" spans="2:5" x14ac:dyDescent="0.25">
      <c r="B8" s="5"/>
      <c r="E8" s="7"/>
    </row>
    <row r="9" spans="2:5" x14ac:dyDescent="0.25">
      <c r="B9" s="5"/>
      <c r="C9" s="6" t="s">
        <v>48</v>
      </c>
      <c r="D9" s="76">
        <f>'Appendix 3'!E32*(1+'Scenario 2'!D11)</f>
        <v>257.60300000000024</v>
      </c>
      <c r="E9" s="7"/>
    </row>
    <row r="10" spans="2:5" x14ac:dyDescent="0.25">
      <c r="B10" s="5"/>
      <c r="C10" s="6" t="s">
        <v>45</v>
      </c>
      <c r="D10" s="78">
        <v>0.1</v>
      </c>
      <c r="E10" s="7"/>
    </row>
    <row r="11" spans="2:5" x14ac:dyDescent="0.25">
      <c r="B11" s="5"/>
      <c r="C11" s="11" t="s">
        <v>27</v>
      </c>
      <c r="D11" s="78">
        <v>0.03</v>
      </c>
      <c r="E11" s="7"/>
    </row>
    <row r="12" spans="2:5" x14ac:dyDescent="0.25">
      <c r="B12" s="5"/>
      <c r="E12" s="7"/>
    </row>
    <row r="13" spans="2:5" x14ac:dyDescent="0.25">
      <c r="B13" s="5"/>
      <c r="C13" s="6" t="s">
        <v>46</v>
      </c>
      <c r="D13" s="13">
        <f>D9/(D10-D11)</f>
        <v>3680.0428571428602</v>
      </c>
      <c r="E13" s="7"/>
    </row>
    <row r="14" spans="2:5" x14ac:dyDescent="0.25">
      <c r="B14" s="5"/>
      <c r="D14" s="61"/>
      <c r="E14" s="7"/>
    </row>
    <row r="15" spans="2:5" x14ac:dyDescent="0.25">
      <c r="B15" s="5"/>
      <c r="C15" s="73" t="s">
        <v>32</v>
      </c>
      <c r="D15" s="73"/>
      <c r="E15" s="7"/>
    </row>
    <row r="16" spans="2:5" x14ac:dyDescent="0.25">
      <c r="B16" s="5"/>
      <c r="C16" s="44"/>
      <c r="D16" s="36"/>
      <c r="E16" s="7"/>
    </row>
    <row r="17" spans="2:5" x14ac:dyDescent="0.25">
      <c r="B17" s="5"/>
      <c r="C17" s="59" t="str">
        <f>C11</f>
        <v>Growth Rate</v>
      </c>
      <c r="D17" s="79">
        <f>D13</f>
        <v>3680.0428571428602</v>
      </c>
      <c r="E17" s="7"/>
    </row>
    <row r="18" spans="2:5" x14ac:dyDescent="0.25">
      <c r="B18" s="5"/>
      <c r="C18" s="60">
        <v>0.03</v>
      </c>
      <c r="D18" s="80">
        <f t="dataTable" ref="D18:D22" dt2D="0" dtr="0" r1="D11"/>
        <v>3680.0428571428602</v>
      </c>
      <c r="E18" s="7"/>
    </row>
    <row r="19" spans="2:5" x14ac:dyDescent="0.25">
      <c r="B19" s="5"/>
      <c r="C19" s="60">
        <v>3.5000000000000003E-2</v>
      </c>
      <c r="D19" s="80">
        <v>3982.3615384615418</v>
      </c>
      <c r="E19" s="7"/>
    </row>
    <row r="20" spans="2:5" x14ac:dyDescent="0.25">
      <c r="B20" s="5"/>
      <c r="C20" s="60">
        <v>0.04</v>
      </c>
      <c r="D20" s="80">
        <v>4335.0666666666702</v>
      </c>
      <c r="E20" s="7"/>
    </row>
    <row r="21" spans="2:5" x14ac:dyDescent="0.25">
      <c r="B21" s="5"/>
      <c r="C21" s="60">
        <v>4.4999999999999998E-2</v>
      </c>
      <c r="D21" s="80">
        <v>4751.9000000000033</v>
      </c>
      <c r="E21" s="7"/>
    </row>
    <row r="22" spans="2:5" x14ac:dyDescent="0.25">
      <c r="B22" s="5"/>
      <c r="C22" s="60">
        <v>0.05</v>
      </c>
      <c r="D22" s="80">
        <v>5252.1000000000049</v>
      </c>
      <c r="E22" s="7"/>
    </row>
    <row r="23" spans="2:5" ht="16.5" thickBot="1" x14ac:dyDescent="0.3">
      <c r="B23" s="8"/>
      <c r="C23" s="9"/>
      <c r="D23" s="9"/>
      <c r="E23" s="10"/>
    </row>
  </sheetData>
  <mergeCells count="4">
    <mergeCell ref="C15:D15"/>
    <mergeCell ref="C3:D3"/>
    <mergeCell ref="C5:D5"/>
    <mergeCell ref="C7:D7"/>
  </mergeCells>
  <pageMargins left="0.7" right="0.7" top="0.75" bottom="0.75" header="0.3" footer="0.3"/>
  <pageSetup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95F56C-CCD7-490B-9547-C151BA14B100}">
  <sheetPr>
    <pageSetUpPr fitToPage="1"/>
  </sheetPr>
  <dimension ref="B1:E14"/>
  <sheetViews>
    <sheetView showGridLines="0" workbookViewId="0">
      <selection activeCell="C3" sqref="C3:D3"/>
    </sheetView>
  </sheetViews>
  <sheetFormatPr defaultColWidth="12.7109375" defaultRowHeight="15.75" x14ac:dyDescent="0.25"/>
  <cols>
    <col min="1" max="2" width="2.7109375" style="6" customWidth="1"/>
    <col min="3" max="3" width="24.7109375" style="6" customWidth="1"/>
    <col min="4" max="4" width="12.7109375" style="6"/>
    <col min="5" max="5" width="2.7109375" style="6" customWidth="1"/>
    <col min="6" max="16384" width="12.7109375" style="6"/>
  </cols>
  <sheetData>
    <row r="1" spans="2:5" ht="16.5" thickBot="1" x14ac:dyDescent="0.3"/>
    <row r="2" spans="2:5" x14ac:dyDescent="0.25">
      <c r="B2" s="2"/>
      <c r="C2" s="3"/>
      <c r="D2" s="3"/>
      <c r="E2" s="4"/>
    </row>
    <row r="3" spans="2:5" x14ac:dyDescent="0.25">
      <c r="B3" s="5"/>
      <c r="C3" s="70" t="s">
        <v>50</v>
      </c>
      <c r="D3" s="70"/>
      <c r="E3" s="7"/>
    </row>
    <row r="4" spans="2:5" x14ac:dyDescent="0.25">
      <c r="B4" s="5"/>
      <c r="E4" s="7"/>
    </row>
    <row r="5" spans="2:5" x14ac:dyDescent="0.25">
      <c r="B5" s="5"/>
      <c r="C5" s="71" t="s">
        <v>47</v>
      </c>
      <c r="D5" s="71"/>
      <c r="E5" s="7"/>
    </row>
    <row r="6" spans="2:5" x14ac:dyDescent="0.25">
      <c r="B6" s="5"/>
      <c r="E6" s="7"/>
    </row>
    <row r="7" spans="2:5" x14ac:dyDescent="0.25">
      <c r="B7" s="5"/>
      <c r="C7" s="72" t="s">
        <v>46</v>
      </c>
      <c r="D7" s="72"/>
      <c r="E7" s="7"/>
    </row>
    <row r="8" spans="2:5" x14ac:dyDescent="0.25">
      <c r="B8" s="5"/>
      <c r="E8" s="7"/>
    </row>
    <row r="9" spans="2:5" x14ac:dyDescent="0.25">
      <c r="B9" s="5"/>
      <c r="C9" s="6" t="s">
        <v>44</v>
      </c>
      <c r="D9" s="76">
        <f>'Appendix 3'!E32</f>
        <v>250.10000000000022</v>
      </c>
      <c r="E9" s="7"/>
    </row>
    <row r="10" spans="2:5" x14ac:dyDescent="0.25">
      <c r="B10" s="5"/>
      <c r="C10" s="6" t="s">
        <v>45</v>
      </c>
      <c r="D10" s="77">
        <v>0.1</v>
      </c>
      <c r="E10" s="7"/>
    </row>
    <row r="11" spans="2:5" x14ac:dyDescent="0.25">
      <c r="B11" s="5"/>
      <c r="C11" s="11" t="s">
        <v>28</v>
      </c>
      <c r="D11" s="81">
        <v>20</v>
      </c>
      <c r="E11" s="7"/>
    </row>
    <row r="12" spans="2:5" x14ac:dyDescent="0.25">
      <c r="B12" s="5"/>
      <c r="E12" s="7"/>
    </row>
    <row r="13" spans="2:5" x14ac:dyDescent="0.25">
      <c r="B13" s="5"/>
      <c r="C13" s="6" t="s">
        <v>46</v>
      </c>
      <c r="D13" s="13">
        <f>-PV(D10,D11,D9)</f>
        <v>2129.242286311619</v>
      </c>
      <c r="E13" s="7"/>
    </row>
    <row r="14" spans="2:5" ht="16.5" thickBot="1" x14ac:dyDescent="0.3">
      <c r="B14" s="8"/>
      <c r="C14" s="9"/>
      <c r="D14" s="9"/>
      <c r="E14" s="10"/>
    </row>
  </sheetData>
  <mergeCells count="3">
    <mergeCell ref="C3:D3"/>
    <mergeCell ref="C5:D5"/>
    <mergeCell ref="C7:D7"/>
  </mergeCells>
  <pageMargins left="0.7" right="0.7" top="0.75" bottom="0.75" header="0.3" footer="0.3"/>
  <pageSetup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25EBB-33A3-4FD3-A6BE-848731C6FD5A}">
  <sheetPr>
    <pageSetUpPr fitToPage="1"/>
  </sheetPr>
  <dimension ref="B1:E24"/>
  <sheetViews>
    <sheetView showGridLines="0" workbookViewId="0">
      <selection activeCell="C3" sqref="C3:D3"/>
    </sheetView>
  </sheetViews>
  <sheetFormatPr defaultColWidth="12.7109375" defaultRowHeight="15.75" x14ac:dyDescent="0.25"/>
  <cols>
    <col min="1" max="2" width="2.7109375" style="6" customWidth="1"/>
    <col min="3" max="3" width="24.7109375" style="6" customWidth="1"/>
    <col min="4" max="4" width="12.7109375" style="6"/>
    <col min="5" max="5" width="2.7109375" style="6" customWidth="1"/>
    <col min="6" max="16384" width="12.7109375" style="6"/>
  </cols>
  <sheetData>
    <row r="1" spans="2:5" ht="16.5" thickBot="1" x14ac:dyDescent="0.3"/>
    <row r="2" spans="2:5" x14ac:dyDescent="0.25">
      <c r="B2" s="2"/>
      <c r="C2" s="3"/>
      <c r="D2" s="3"/>
      <c r="E2" s="4"/>
    </row>
    <row r="3" spans="2:5" x14ac:dyDescent="0.25">
      <c r="B3" s="5"/>
      <c r="C3" s="70" t="s">
        <v>51</v>
      </c>
      <c r="D3" s="70"/>
      <c r="E3" s="7"/>
    </row>
    <row r="4" spans="2:5" x14ac:dyDescent="0.25">
      <c r="B4" s="5"/>
      <c r="E4" s="7"/>
    </row>
    <row r="5" spans="2:5" x14ac:dyDescent="0.25">
      <c r="B5" s="5"/>
      <c r="C5" s="71" t="s">
        <v>47</v>
      </c>
      <c r="D5" s="71"/>
      <c r="E5" s="7"/>
    </row>
    <row r="6" spans="2:5" x14ac:dyDescent="0.25">
      <c r="B6" s="5"/>
      <c r="E6" s="7"/>
    </row>
    <row r="7" spans="2:5" x14ac:dyDescent="0.25">
      <c r="B7" s="5"/>
      <c r="C7" s="72" t="s">
        <v>46</v>
      </c>
      <c r="D7" s="72"/>
      <c r="E7" s="7"/>
    </row>
    <row r="8" spans="2:5" x14ac:dyDescent="0.25">
      <c r="B8" s="5"/>
      <c r="E8" s="7"/>
    </row>
    <row r="9" spans="2:5" x14ac:dyDescent="0.25">
      <c r="B9" s="5"/>
      <c r="C9" s="6" t="s">
        <v>48</v>
      </c>
      <c r="D9" s="76">
        <f>'Appendix 3'!E32*(1+'Scenario 4'!D11)</f>
        <v>257.60300000000024</v>
      </c>
      <c r="E9" s="7"/>
    </row>
    <row r="10" spans="2:5" x14ac:dyDescent="0.25">
      <c r="B10" s="5"/>
      <c r="C10" s="6" t="s">
        <v>45</v>
      </c>
      <c r="D10" s="77">
        <v>0.1</v>
      </c>
      <c r="E10" s="7"/>
    </row>
    <row r="11" spans="2:5" x14ac:dyDescent="0.25">
      <c r="B11" s="5"/>
      <c r="C11" s="11" t="s">
        <v>27</v>
      </c>
      <c r="D11" s="77">
        <v>0.03</v>
      </c>
      <c r="E11" s="7"/>
    </row>
    <row r="12" spans="2:5" x14ac:dyDescent="0.25">
      <c r="B12" s="5"/>
      <c r="C12" s="11" t="s">
        <v>28</v>
      </c>
      <c r="D12" s="81">
        <v>20</v>
      </c>
      <c r="E12" s="7"/>
    </row>
    <row r="13" spans="2:5" x14ac:dyDescent="0.25">
      <c r="B13" s="5"/>
      <c r="E13" s="7"/>
    </row>
    <row r="14" spans="2:5" x14ac:dyDescent="0.25">
      <c r="B14" s="5"/>
      <c r="C14" s="6" t="s">
        <v>46</v>
      </c>
      <c r="D14" s="13">
        <f>(D9/(D10-D11))*(1-((1+D11)/(1+D10))^D12)</f>
        <v>2692.0730617633858</v>
      </c>
      <c r="E14" s="7"/>
    </row>
    <row r="15" spans="2:5" x14ac:dyDescent="0.25">
      <c r="B15" s="5"/>
      <c r="D15" s="61"/>
      <c r="E15" s="7"/>
    </row>
    <row r="16" spans="2:5" x14ac:dyDescent="0.25">
      <c r="B16" s="5"/>
      <c r="C16" s="73" t="s">
        <v>32</v>
      </c>
      <c r="D16" s="73"/>
      <c r="E16" s="7"/>
    </row>
    <row r="17" spans="2:5" x14ac:dyDescent="0.25">
      <c r="B17" s="5"/>
      <c r="C17" s="44"/>
      <c r="D17" s="36"/>
      <c r="E17" s="7"/>
    </row>
    <row r="18" spans="2:5" x14ac:dyDescent="0.25">
      <c r="B18" s="5"/>
      <c r="C18" s="59" t="str">
        <f>C11</f>
        <v>Growth Rate</v>
      </c>
      <c r="D18" s="79">
        <f>D14</f>
        <v>2692.0730617633858</v>
      </c>
      <c r="E18" s="7"/>
    </row>
    <row r="19" spans="2:5" x14ac:dyDescent="0.25">
      <c r="B19" s="5"/>
      <c r="C19" s="60">
        <v>0.03</v>
      </c>
      <c r="D19" s="80">
        <f t="dataTable" ref="D19:D23" dt2D="0" dtr="0" r1="D11"/>
        <v>2692.0730617633858</v>
      </c>
      <c r="E19" s="7"/>
    </row>
    <row r="20" spans="2:5" x14ac:dyDescent="0.25">
      <c r="B20" s="5"/>
      <c r="C20" s="60">
        <v>3.5000000000000003E-2</v>
      </c>
      <c r="D20" s="80">
        <v>2804.5007136064155</v>
      </c>
      <c r="E20" s="7"/>
    </row>
    <row r="21" spans="2:5" x14ac:dyDescent="0.25">
      <c r="B21" s="5"/>
      <c r="C21" s="60">
        <v>0.04</v>
      </c>
      <c r="D21" s="80">
        <v>2923.1506545560678</v>
      </c>
      <c r="E21" s="7"/>
    </row>
    <row r="22" spans="2:5" x14ac:dyDescent="0.25">
      <c r="B22" s="5"/>
      <c r="C22" s="60">
        <v>4.4999999999999998E-2</v>
      </c>
      <c r="D22" s="80">
        <v>3048.410745306855</v>
      </c>
      <c r="E22" s="7"/>
    </row>
    <row r="23" spans="2:5" x14ac:dyDescent="0.25">
      <c r="B23" s="5"/>
      <c r="C23" s="60">
        <v>0.05</v>
      </c>
      <c r="D23" s="80">
        <v>3180.6938339418443</v>
      </c>
      <c r="E23" s="7"/>
    </row>
    <row r="24" spans="2:5" ht="16.5" thickBot="1" x14ac:dyDescent="0.3">
      <c r="B24" s="8"/>
      <c r="C24" s="9"/>
      <c r="D24" s="9"/>
      <c r="E24" s="10"/>
    </row>
  </sheetData>
  <mergeCells count="4">
    <mergeCell ref="C16:D16"/>
    <mergeCell ref="C3:D3"/>
    <mergeCell ref="C5:D5"/>
    <mergeCell ref="C7:D7"/>
  </mergeCells>
  <pageMargins left="0.7" right="0.7" top="0.75" bottom="0.75" header="0.3" footer="0.3"/>
  <pageSetup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AAAB8F-B30C-49BF-A642-179AF766A2B3}">
  <sheetPr>
    <pageSetUpPr fitToPage="1"/>
  </sheetPr>
  <dimension ref="B1:J43"/>
  <sheetViews>
    <sheetView showGridLines="0" workbookViewId="0">
      <selection activeCell="C3" sqref="C3:I3"/>
    </sheetView>
  </sheetViews>
  <sheetFormatPr defaultColWidth="12.7109375" defaultRowHeight="15.75" x14ac:dyDescent="0.25"/>
  <cols>
    <col min="1" max="2" width="2.7109375" style="1" customWidth="1"/>
    <col min="3" max="3" width="24.7109375" style="14" customWidth="1"/>
    <col min="4" max="4" width="12.7109375" style="1"/>
    <col min="5" max="7" width="12.7109375" style="15"/>
    <col min="8" max="9" width="12.7109375" style="1"/>
    <col min="10" max="10" width="2.7109375" style="1" customWidth="1"/>
    <col min="11" max="16384" width="12.7109375" style="1"/>
  </cols>
  <sheetData>
    <row r="1" spans="2:10" ht="16.5" thickBot="1" x14ac:dyDescent="0.3"/>
    <row r="2" spans="2:10" x14ac:dyDescent="0.25">
      <c r="B2" s="2"/>
      <c r="C2" s="21"/>
      <c r="D2" s="3"/>
      <c r="E2" s="22"/>
      <c r="F2" s="22"/>
      <c r="G2" s="22"/>
      <c r="H2" s="3"/>
      <c r="I2" s="3"/>
      <c r="J2" s="4"/>
    </row>
    <row r="3" spans="2:10" x14ac:dyDescent="0.25">
      <c r="B3" s="5"/>
      <c r="C3" s="70" t="s">
        <v>29</v>
      </c>
      <c r="D3" s="70"/>
      <c r="E3" s="70"/>
      <c r="F3" s="70"/>
      <c r="G3" s="70"/>
      <c r="H3" s="70"/>
      <c r="I3" s="70"/>
      <c r="J3" s="7"/>
    </row>
    <row r="4" spans="2:10" x14ac:dyDescent="0.25">
      <c r="B4" s="5"/>
      <c r="C4" s="19"/>
      <c r="D4" s="6"/>
      <c r="E4" s="23"/>
      <c r="F4" s="23"/>
      <c r="G4" s="23"/>
      <c r="H4" s="6"/>
      <c r="I4" s="6"/>
      <c r="J4" s="7"/>
    </row>
    <row r="5" spans="2:10" x14ac:dyDescent="0.25">
      <c r="B5" s="5"/>
      <c r="C5" s="72" t="s">
        <v>46</v>
      </c>
      <c r="D5" s="72"/>
      <c r="E5" s="72"/>
      <c r="F5" s="72"/>
      <c r="G5" s="72"/>
      <c r="H5" s="72"/>
      <c r="I5" s="72"/>
      <c r="J5" s="7"/>
    </row>
    <row r="6" spans="2:10" x14ac:dyDescent="0.25">
      <c r="B6" s="5"/>
      <c r="C6" s="19"/>
      <c r="D6" s="6"/>
      <c r="E6" s="23"/>
      <c r="F6" s="23"/>
      <c r="G6" s="23"/>
      <c r="H6" s="6"/>
      <c r="I6" s="6"/>
      <c r="J6" s="7"/>
    </row>
    <row r="7" spans="2:10" s="15" customFormat="1" x14ac:dyDescent="0.25">
      <c r="B7" s="24"/>
      <c r="C7" s="19" t="s">
        <v>27</v>
      </c>
      <c r="D7" s="82">
        <v>0.01</v>
      </c>
      <c r="E7" s="67"/>
      <c r="F7" s="67"/>
      <c r="G7" s="67"/>
      <c r="H7" s="67"/>
      <c r="I7" s="67"/>
      <c r="J7" s="25"/>
    </row>
    <row r="8" spans="2:10" s="15" customFormat="1" x14ac:dyDescent="0.25">
      <c r="B8" s="24"/>
      <c r="C8" s="19" t="s">
        <v>11</v>
      </c>
      <c r="D8" s="82">
        <v>0.1</v>
      </c>
      <c r="E8" s="67"/>
      <c r="F8" s="67"/>
      <c r="G8" s="67"/>
      <c r="H8" s="67"/>
      <c r="I8" s="67"/>
      <c r="J8" s="25"/>
    </row>
    <row r="9" spans="2:10" s="15" customFormat="1" x14ac:dyDescent="0.25">
      <c r="B9" s="24"/>
      <c r="C9" s="19"/>
      <c r="D9" s="26"/>
      <c r="E9" s="23"/>
      <c r="F9" s="23"/>
      <c r="G9" s="23"/>
      <c r="H9" s="23"/>
      <c r="I9" s="23"/>
      <c r="J9" s="25"/>
    </row>
    <row r="10" spans="2:10" s="15" customFormat="1" x14ac:dyDescent="0.25">
      <c r="B10" s="24"/>
      <c r="C10" s="62" t="s">
        <v>13</v>
      </c>
      <c r="D10" s="18" t="s">
        <v>12</v>
      </c>
      <c r="E10" s="20" t="s">
        <v>14</v>
      </c>
      <c r="F10" s="23"/>
      <c r="G10" s="62" t="s">
        <v>13</v>
      </c>
      <c r="H10" s="18" t="s">
        <v>12</v>
      </c>
      <c r="I10" s="20" t="s">
        <v>14</v>
      </c>
      <c r="J10" s="25"/>
    </row>
    <row r="11" spans="2:10" s="15" customFormat="1" x14ac:dyDescent="0.25">
      <c r="B11" s="24"/>
      <c r="C11" s="19">
        <v>2013</v>
      </c>
      <c r="D11" s="27">
        <v>1</v>
      </c>
      <c r="E11" s="83">
        <f>'Appendix 3'!G32</f>
        <v>396.30000000000018</v>
      </c>
      <c r="F11" s="23"/>
      <c r="G11" s="19">
        <v>2013</v>
      </c>
      <c r="H11" s="27">
        <v>1</v>
      </c>
      <c r="I11" s="83">
        <f>E11</f>
        <v>396.30000000000018</v>
      </c>
      <c r="J11" s="25"/>
    </row>
    <row r="12" spans="2:10" s="15" customFormat="1" x14ac:dyDescent="0.25">
      <c r="B12" s="24"/>
      <c r="C12" s="19">
        <v>2014</v>
      </c>
      <c r="D12" s="27">
        <v>2</v>
      </c>
      <c r="E12" s="83">
        <f>'Appendix 3'!H32</f>
        <v>465.2000000000005</v>
      </c>
      <c r="F12" s="23"/>
      <c r="G12" s="19">
        <v>2014</v>
      </c>
      <c r="H12" s="27">
        <v>2</v>
      </c>
      <c r="I12" s="83">
        <f t="shared" ref="I12:I14" si="0">E12</f>
        <v>465.2000000000005</v>
      </c>
      <c r="J12" s="25"/>
    </row>
    <row r="13" spans="2:10" s="15" customFormat="1" x14ac:dyDescent="0.25">
      <c r="B13" s="24"/>
      <c r="C13" s="19">
        <v>2015</v>
      </c>
      <c r="D13" s="27">
        <v>3</v>
      </c>
      <c r="E13" s="83">
        <f>'Appendix 3'!I32</f>
        <v>538.89999999999895</v>
      </c>
      <c r="F13" s="23"/>
      <c r="G13" s="19">
        <v>2015</v>
      </c>
      <c r="H13" s="27">
        <v>3</v>
      </c>
      <c r="I13" s="83">
        <f t="shared" si="0"/>
        <v>538.89999999999895</v>
      </c>
      <c r="J13" s="25"/>
    </row>
    <row r="14" spans="2:10" s="15" customFormat="1" x14ac:dyDescent="0.25">
      <c r="B14" s="24"/>
      <c r="C14" s="19">
        <v>2016</v>
      </c>
      <c r="D14" s="27">
        <v>4</v>
      </c>
      <c r="E14" s="83">
        <f>'Appendix 3'!J32</f>
        <v>607.10000000000025</v>
      </c>
      <c r="F14" s="23"/>
      <c r="G14" s="19">
        <v>2016</v>
      </c>
      <c r="H14" s="27">
        <v>4</v>
      </c>
      <c r="I14" s="83">
        <f t="shared" si="0"/>
        <v>607.10000000000025</v>
      </c>
      <c r="J14" s="25"/>
    </row>
    <row r="15" spans="2:10" s="15" customFormat="1" x14ac:dyDescent="0.25">
      <c r="B15" s="24"/>
      <c r="C15" s="19">
        <v>2017</v>
      </c>
      <c r="D15" s="27">
        <v>5</v>
      </c>
      <c r="E15" s="83">
        <f>'Appendix 3'!K32</f>
        <v>628.40000000000089</v>
      </c>
      <c r="F15" s="23"/>
      <c r="G15" s="19">
        <v>2017</v>
      </c>
      <c r="H15" s="27">
        <v>5</v>
      </c>
      <c r="I15" s="83">
        <f>E15+E16</f>
        <v>7680.4444444444543</v>
      </c>
      <c r="J15" s="25"/>
    </row>
    <row r="16" spans="2:10" s="15" customFormat="1" x14ac:dyDescent="0.25">
      <c r="B16" s="24"/>
      <c r="C16" s="19" t="s">
        <v>31</v>
      </c>
      <c r="D16" s="27">
        <v>5</v>
      </c>
      <c r="E16" s="83">
        <f>E15*(1+D7)/(D8-D7)</f>
        <v>7052.0444444444538</v>
      </c>
      <c r="F16" s="23"/>
      <c r="G16" s="23"/>
      <c r="H16" s="23"/>
      <c r="I16" s="23"/>
      <c r="J16" s="25"/>
    </row>
    <row r="17" spans="2:10" s="15" customFormat="1" x14ac:dyDescent="0.25">
      <c r="B17" s="24"/>
      <c r="C17" s="19"/>
      <c r="D17" s="23"/>
      <c r="E17" s="23"/>
      <c r="F17" s="23"/>
      <c r="G17" s="23"/>
      <c r="H17" s="23"/>
      <c r="I17" s="23"/>
      <c r="J17" s="25"/>
    </row>
    <row r="18" spans="2:10" s="15" customFormat="1" x14ac:dyDescent="0.25">
      <c r="B18" s="24"/>
      <c r="C18" s="19" t="s">
        <v>46</v>
      </c>
      <c r="D18" s="23"/>
      <c r="E18" s="29"/>
      <c r="F18" s="23"/>
      <c r="G18" s="23"/>
      <c r="H18" s="23"/>
      <c r="I18" s="84">
        <f>NPV(D8,I11:I15)</f>
        <v>6333.2282782748634</v>
      </c>
      <c r="J18" s="25"/>
    </row>
    <row r="19" spans="2:10" s="15" customFormat="1" x14ac:dyDescent="0.25">
      <c r="B19" s="24"/>
      <c r="C19" s="28"/>
      <c r="D19" s="23"/>
      <c r="E19" s="29"/>
      <c r="F19" s="23"/>
      <c r="G19" s="23"/>
      <c r="H19" s="23"/>
      <c r="I19" s="29"/>
      <c r="J19" s="25"/>
    </row>
    <row r="20" spans="2:10" s="15" customFormat="1" x14ac:dyDescent="0.25">
      <c r="B20" s="24"/>
      <c r="C20" s="72" t="s">
        <v>33</v>
      </c>
      <c r="D20" s="72"/>
      <c r="E20" s="72"/>
      <c r="F20" s="72"/>
      <c r="G20" s="72"/>
      <c r="H20" s="72"/>
      <c r="I20" s="72"/>
      <c r="J20" s="25"/>
    </row>
    <row r="21" spans="2:10" s="15" customFormat="1" x14ac:dyDescent="0.25">
      <c r="B21" s="24"/>
      <c r="C21" s="28"/>
      <c r="D21" s="23"/>
      <c r="E21" s="30"/>
      <c r="F21" s="30"/>
      <c r="G21" s="23"/>
      <c r="H21" s="23"/>
      <c r="I21" s="23"/>
      <c r="J21" s="25"/>
    </row>
    <row r="22" spans="2:10" x14ac:dyDescent="0.25">
      <c r="B22" s="5"/>
      <c r="C22" s="34" t="s">
        <v>10</v>
      </c>
      <c r="D22" s="85">
        <f>I18</f>
        <v>6333.2282782748634</v>
      </c>
      <c r="E22" s="23"/>
      <c r="F22" s="23"/>
      <c r="G22" s="23"/>
      <c r="H22" s="6"/>
      <c r="I22" s="6"/>
      <c r="J22" s="7"/>
    </row>
    <row r="23" spans="2:10" x14ac:dyDescent="0.25">
      <c r="B23" s="5"/>
      <c r="C23" s="12">
        <v>0.01</v>
      </c>
      <c r="D23" s="86">
        <f t="dataTable" ref="D23:D27" dt2D="0" dtr="0" r1="D7" ca="1"/>
        <v>6333.2282782748634</v>
      </c>
      <c r="E23" s="23"/>
      <c r="F23" s="23"/>
      <c r="G23" s="23"/>
      <c r="H23" s="6"/>
      <c r="I23" s="6"/>
      <c r="J23" s="7"/>
    </row>
    <row r="24" spans="2:10" x14ac:dyDescent="0.25">
      <c r="B24" s="5"/>
      <c r="C24" s="12">
        <v>1.4999999999999999E-2</v>
      </c>
      <c r="D24" s="86">
        <v>6613.7548503999678</v>
      </c>
      <c r="E24" s="23"/>
      <c r="F24" s="23"/>
      <c r="G24" s="23"/>
      <c r="H24" s="6"/>
      <c r="I24" s="6"/>
      <c r="J24" s="7"/>
    </row>
    <row r="25" spans="2:10" x14ac:dyDescent="0.25">
      <c r="B25" s="5"/>
      <c r="C25" s="12">
        <v>0.02</v>
      </c>
      <c r="D25" s="86">
        <v>6929.3472440407113</v>
      </c>
      <c r="E25" s="23"/>
      <c r="F25" s="23"/>
      <c r="G25" s="23"/>
      <c r="H25" s="6"/>
      <c r="I25" s="6"/>
      <c r="J25" s="7"/>
    </row>
    <row r="26" spans="2:10" x14ac:dyDescent="0.25">
      <c r="B26" s="5"/>
      <c r="C26" s="12">
        <v>2.5000000000000001E-2</v>
      </c>
      <c r="D26" s="86">
        <v>7287.0186235002193</v>
      </c>
      <c r="E26" s="23"/>
      <c r="F26" s="23"/>
      <c r="G26" s="23"/>
      <c r="H26" s="6"/>
      <c r="I26" s="6"/>
      <c r="J26" s="7"/>
    </row>
    <row r="27" spans="2:10" x14ac:dyDescent="0.25">
      <c r="B27" s="5"/>
      <c r="C27" s="12">
        <v>0.03</v>
      </c>
      <c r="D27" s="86">
        <v>7695.7859143110882</v>
      </c>
      <c r="E27" s="23"/>
      <c r="F27" s="23"/>
      <c r="G27" s="23"/>
      <c r="H27" s="6"/>
      <c r="I27" s="6"/>
      <c r="J27" s="7"/>
    </row>
    <row r="28" spans="2:10" x14ac:dyDescent="0.25">
      <c r="B28" s="5"/>
      <c r="C28" s="19"/>
      <c r="D28" s="6"/>
      <c r="E28" s="23"/>
      <c r="F28" s="23"/>
      <c r="G28" s="23"/>
      <c r="H28" s="6"/>
      <c r="I28" s="6"/>
      <c r="J28" s="7"/>
    </row>
    <row r="29" spans="2:10" x14ac:dyDescent="0.25">
      <c r="B29" s="5"/>
      <c r="C29" s="34" t="s">
        <v>26</v>
      </c>
      <c r="D29" s="85">
        <f>I18</f>
        <v>6333.2282782748634</v>
      </c>
      <c r="E29" s="23"/>
      <c r="F29" s="23"/>
      <c r="G29" s="23"/>
      <c r="H29" s="6"/>
      <c r="I29" s="6"/>
      <c r="J29" s="7"/>
    </row>
    <row r="30" spans="2:10" x14ac:dyDescent="0.25">
      <c r="B30" s="5"/>
      <c r="C30" s="12">
        <v>0.09</v>
      </c>
      <c r="D30" s="86">
        <f t="dataTable" ref="D30:D34" dt2D="0" dtr="0" r1="D8" ca="1"/>
        <v>7166.0221704786927</v>
      </c>
      <c r="E30" s="23"/>
      <c r="F30" s="23"/>
      <c r="G30" s="23"/>
      <c r="H30" s="6"/>
      <c r="I30" s="6"/>
      <c r="J30" s="7"/>
    </row>
    <row r="31" spans="2:10" x14ac:dyDescent="0.25">
      <c r="B31" s="5"/>
      <c r="C31" s="12">
        <v>9.5000000000000001E-2</v>
      </c>
      <c r="D31" s="86">
        <v>6724.9779598451132</v>
      </c>
      <c r="E31" s="23"/>
      <c r="F31" s="23"/>
      <c r="G31" s="23"/>
      <c r="H31" s="6"/>
      <c r="I31" s="6"/>
      <c r="J31" s="7"/>
    </row>
    <row r="32" spans="2:10" x14ac:dyDescent="0.25">
      <c r="B32" s="5"/>
      <c r="C32" s="12">
        <v>0.1</v>
      </c>
      <c r="D32" s="86">
        <v>6333.2282782748634</v>
      </c>
      <c r="E32" s="23"/>
      <c r="F32" s="23"/>
      <c r="G32" s="23"/>
      <c r="H32" s="6"/>
      <c r="I32" s="6"/>
      <c r="J32" s="7"/>
    </row>
    <row r="33" spans="2:10" x14ac:dyDescent="0.25">
      <c r="B33" s="5"/>
      <c r="C33" s="12">
        <v>0.105</v>
      </c>
      <c r="D33" s="86">
        <v>5982.9839644082631</v>
      </c>
      <c r="E33" s="23"/>
      <c r="F33" s="23"/>
      <c r="G33" s="23"/>
      <c r="H33" s="6"/>
      <c r="I33" s="6"/>
      <c r="J33" s="7"/>
    </row>
    <row r="34" spans="2:10" x14ac:dyDescent="0.25">
      <c r="B34" s="5"/>
      <c r="C34" s="12">
        <v>0.11</v>
      </c>
      <c r="D34" s="86">
        <v>5668.0138342858581</v>
      </c>
      <c r="E34" s="23"/>
      <c r="F34" s="23"/>
      <c r="G34" s="23"/>
      <c r="H34" s="6"/>
      <c r="I34" s="6"/>
      <c r="J34" s="7"/>
    </row>
    <row r="35" spans="2:10" x14ac:dyDescent="0.25">
      <c r="B35" s="5"/>
      <c r="C35" s="19"/>
      <c r="D35" s="6"/>
      <c r="E35" s="23"/>
      <c r="F35" s="23"/>
      <c r="G35" s="23"/>
      <c r="H35" s="6"/>
      <c r="I35" s="6"/>
      <c r="J35" s="7"/>
    </row>
    <row r="36" spans="2:10" x14ac:dyDescent="0.25">
      <c r="B36" s="5"/>
      <c r="C36" s="34" t="s">
        <v>30</v>
      </c>
      <c r="D36" s="16"/>
      <c r="E36" s="17"/>
      <c r="F36" s="17"/>
      <c r="G36" s="17"/>
      <c r="H36" s="16"/>
      <c r="I36" s="6"/>
      <c r="J36" s="7"/>
    </row>
    <row r="37" spans="2:10" x14ac:dyDescent="0.25">
      <c r="B37" s="5"/>
      <c r="C37" s="87">
        <f>I18</f>
        <v>6333.2282782748634</v>
      </c>
      <c r="D37" s="31">
        <v>0.01</v>
      </c>
      <c r="E37" s="31">
        <v>1.4999999999999999E-2</v>
      </c>
      <c r="F37" s="31">
        <v>0.02</v>
      </c>
      <c r="G37" s="31">
        <v>2.5000000000000001E-2</v>
      </c>
      <c r="H37" s="31">
        <v>0.03</v>
      </c>
      <c r="I37" s="6"/>
      <c r="J37" s="7"/>
    </row>
    <row r="38" spans="2:10" x14ac:dyDescent="0.25">
      <c r="B38" s="5"/>
      <c r="C38" s="12">
        <v>0.09</v>
      </c>
      <c r="D38" s="86">
        <f t="dataTable" ref="D38:H42" dt2D="1" dtr="1" r1="D7" r2="D8"/>
        <v>7166.0221704786927</v>
      </c>
      <c r="E38" s="86">
        <v>7537.0008393398348</v>
      </c>
      <c r="F38" s="86">
        <v>7960.9764608954265</v>
      </c>
      <c r="G38" s="86">
        <v>8450.1791011518762</v>
      </c>
      <c r="H38" s="86">
        <v>9020.9155147844031</v>
      </c>
      <c r="I38" s="6"/>
      <c r="J38" s="7"/>
    </row>
    <row r="39" spans="2:10" x14ac:dyDescent="0.25">
      <c r="B39" s="5"/>
      <c r="C39" s="12">
        <v>9.5000000000000001E-2</v>
      </c>
      <c r="D39" s="86">
        <v>6724.9779598451132</v>
      </c>
      <c r="E39" s="86">
        <v>7046.3741995694645</v>
      </c>
      <c r="F39" s="86">
        <v>7410.6232712570654</v>
      </c>
      <c r="G39" s="86">
        <v>7826.9079246143192</v>
      </c>
      <c r="H39" s="86">
        <v>8307.236370795772</v>
      </c>
      <c r="I39" s="6"/>
      <c r="J39" s="7"/>
    </row>
    <row r="40" spans="2:10" x14ac:dyDescent="0.25">
      <c r="B40" s="5"/>
      <c r="C40" s="12">
        <v>0.1</v>
      </c>
      <c r="D40" s="86">
        <v>6333.2282782748634</v>
      </c>
      <c r="E40" s="86">
        <v>6613.7548503999678</v>
      </c>
      <c r="F40" s="86">
        <v>6929.3472440407113</v>
      </c>
      <c r="G40" s="86">
        <v>7287.0186235002193</v>
      </c>
      <c r="H40" s="86">
        <v>7695.7859143110882</v>
      </c>
      <c r="I40" s="6"/>
      <c r="J40" s="7"/>
    </row>
    <row r="41" spans="2:10" x14ac:dyDescent="0.25">
      <c r="B41" s="5"/>
      <c r="C41" s="12">
        <v>0.105</v>
      </c>
      <c r="D41" s="86">
        <v>5982.9839644082631</v>
      </c>
      <c r="E41" s="86">
        <v>6229.4692247665189</v>
      </c>
      <c r="F41" s="86">
        <v>6504.9527510492753</v>
      </c>
      <c r="G41" s="86">
        <v>6814.8717181173752</v>
      </c>
      <c r="H41" s="86">
        <v>7166.1132141278895</v>
      </c>
      <c r="I41" s="6"/>
      <c r="J41" s="7"/>
    </row>
    <row r="42" spans="2:10" x14ac:dyDescent="0.25">
      <c r="B42" s="5"/>
      <c r="C42" s="12">
        <v>0.11</v>
      </c>
      <c r="D42" s="86">
        <v>5668.0138342858581</v>
      </c>
      <c r="E42" s="86">
        <v>5885.8804364714988</v>
      </c>
      <c r="F42" s="86">
        <v>6127.9544388999902</v>
      </c>
      <c r="G42" s="86">
        <v>6398.5077357318323</v>
      </c>
      <c r="H42" s="86">
        <v>6702.8801946676567</v>
      </c>
      <c r="I42" s="6"/>
      <c r="J42" s="7"/>
    </row>
    <row r="43" spans="2:10" ht="16.5" thickBot="1" x14ac:dyDescent="0.3">
      <c r="B43" s="8"/>
      <c r="C43" s="32"/>
      <c r="D43" s="9"/>
      <c r="E43" s="33"/>
      <c r="F43" s="33"/>
      <c r="G43" s="33"/>
      <c r="H43" s="9"/>
      <c r="I43" s="9"/>
      <c r="J43" s="10"/>
    </row>
  </sheetData>
  <mergeCells count="3">
    <mergeCell ref="C3:I3"/>
    <mergeCell ref="C20:I20"/>
    <mergeCell ref="C5:I5"/>
  </mergeCells>
  <pageMargins left="0.2" right="0.2" top="0.25" bottom="0.25" header="0.05" footer="0.05"/>
  <pageSetup scale="82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Appendix 3</vt:lpstr>
      <vt:lpstr>Scenario 1</vt:lpstr>
      <vt:lpstr>Scenario 2</vt:lpstr>
      <vt:lpstr>Scenario 3</vt:lpstr>
      <vt:lpstr>Scenario 4</vt:lpstr>
      <vt:lpstr>Scenario 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Pecherot</dc:creator>
  <cp:lastModifiedBy>Barbara Pecherot</cp:lastModifiedBy>
  <cp:lastPrinted>2024-10-30T16:55:15Z</cp:lastPrinted>
  <dcterms:created xsi:type="dcterms:W3CDTF">2023-03-07T21:19:39Z</dcterms:created>
  <dcterms:modified xsi:type="dcterms:W3CDTF">2025-03-22T00:21:38Z</dcterms:modified>
</cp:coreProperties>
</file>