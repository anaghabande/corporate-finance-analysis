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gh\OneDrive\Documents\T'BIRD\GLOBAL ACCOUNTING AND FINANCIAL MANAGEMENT\FINANCE\Finance-Handout\PRE-CLASS\"/>
    </mc:Choice>
  </mc:AlternateContent>
  <xr:revisionPtr revIDLastSave="0" documentId="13_ncr:1_{873DFBF0-9290-4F24-8267-A1C2622DAA05}" xr6:coauthVersionLast="47" xr6:coauthVersionMax="47" xr10:uidLastSave="{00000000-0000-0000-0000-000000000000}"/>
  <bookViews>
    <workbookView xWindow="11424" yWindow="0" windowWidth="11712" windowHeight="12336" tabRatio="781" xr2:uid="{00000000-000D-0000-FFFF-FFFF00000000}"/>
  </bookViews>
  <sheets>
    <sheet name="Financial Data and Ratios" sheetId="37" r:id="rId1"/>
  </sheets>
  <externalReferences>
    <externalReference r:id="rId2"/>
  </externalReferences>
  <definedNames>
    <definedName name="A_CF">[1]Annuity!$D$5</definedName>
    <definedName name="A_DR">[1]Annuity!$D$7</definedName>
    <definedName name="A_NP">[1]Annuity!$D$6</definedName>
    <definedName name="D" localSheetId="0">#REF!</definedName>
    <definedName name="D">#REF!</definedName>
    <definedName name="GA_CF">'[1]Growing Annuity'!$D$5</definedName>
    <definedName name="GA_DR">'[1]Growing Annuity'!$D$8</definedName>
    <definedName name="GA_GR">'[1]Growing Annuity'!$D$6</definedName>
    <definedName name="GA_NP">'[1]Growing Annuity'!$D$7</definedName>
    <definedName name="GP_CF">'[1]Growing Perpetuity'!$D$5</definedName>
    <definedName name="GP_DR">'[1]Growing Perpetuity'!$D$7</definedName>
    <definedName name="GP_GR">'[1]Growing Perpetuity'!$D$6</definedName>
    <definedName name="IRC_NP" localSheetId="0">#REF!</definedName>
    <definedName name="IRC_NP">#REF!</definedName>
    <definedName name="IRC_SAIR" localSheetId="0">#REF!</definedName>
    <definedName name="IRC_SAIR">#REF!</definedName>
    <definedName name="P_CF">[1]Perpetuity!$D$5</definedName>
    <definedName name="P_DR">[1]Perpetuity!$D$6</definedName>
    <definedName name="S_CF">'[1]Single Cash Flow'!$D$3</definedName>
    <definedName name="S_DR">'[1]Single Cash Flow'!$D$5</definedName>
    <definedName name="S_T">'[1]Single Cash Flow'!$D$4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9" i="37" l="1"/>
  <c r="G129" i="37"/>
  <c r="E129" i="37"/>
  <c r="G84" i="37"/>
  <c r="F84" i="37"/>
  <c r="E84" i="37"/>
  <c r="G67" i="37"/>
  <c r="F67" i="37"/>
  <c r="E67" i="37"/>
  <c r="E71" i="37" s="1"/>
  <c r="G63" i="37"/>
  <c r="F63" i="37"/>
  <c r="E63" i="37"/>
  <c r="G45" i="37"/>
  <c r="F45" i="37"/>
  <c r="E45" i="37"/>
  <c r="G37" i="37"/>
  <c r="F37" i="37"/>
  <c r="E37" i="37"/>
  <c r="F23" i="37"/>
  <c r="F32" i="37" s="1"/>
  <c r="F49" i="37" s="1"/>
  <c r="G23" i="37"/>
  <c r="G32" i="37" s="1"/>
  <c r="G49" i="37" s="1"/>
  <c r="G51" i="37" s="1"/>
  <c r="F50" i="37" s="1"/>
  <c r="F51" i="37" s="1"/>
  <c r="E50" i="37" s="1"/>
  <c r="E23" i="37"/>
  <c r="E32" i="37" s="1"/>
  <c r="I10" i="37"/>
  <c r="J10" i="37"/>
  <c r="K10" i="37"/>
  <c r="I11" i="37"/>
  <c r="J11" i="37"/>
  <c r="K11" i="37"/>
  <c r="I12" i="37"/>
  <c r="J12" i="37"/>
  <c r="K12" i="37"/>
  <c r="I13" i="37"/>
  <c r="J13" i="37"/>
  <c r="K13" i="37"/>
  <c r="J9" i="37"/>
  <c r="K9" i="37"/>
  <c r="I9" i="37"/>
  <c r="F71" i="37" l="1"/>
  <c r="G71" i="37"/>
  <c r="E49" i="37"/>
  <c r="E51" i="37"/>
</calcChain>
</file>

<file path=xl/sharedStrings.xml><?xml version="1.0" encoding="utf-8"?>
<sst xmlns="http://schemas.openxmlformats.org/spreadsheetml/2006/main" count="102" uniqueCount="96">
  <si>
    <t>Sales</t>
  </si>
  <si>
    <t>Ending Cash and Cash Equivalents</t>
  </si>
  <si>
    <t>Change in Operating Assets and Liabilities:</t>
  </si>
  <si>
    <t>Common-Size Income Statements</t>
  </si>
  <si>
    <t>Growth Rate in Sales</t>
  </si>
  <si>
    <t>Change in Cash and Cash Equivalents</t>
  </si>
  <si>
    <t>Gross Profit</t>
  </si>
  <si>
    <t>Cash Flow from Operating Activities (CFFO)</t>
  </si>
  <si>
    <t>Cash Flow from Investing Activities (CFFI)</t>
  </si>
  <si>
    <t>Cash Flow from Financing Activities (CFFI)</t>
  </si>
  <si>
    <t>Additions to Property, Plant, and Equipment</t>
  </si>
  <si>
    <t>Depreciation and Amortization Expenses</t>
  </si>
  <si>
    <t>Change in Accounts Payable</t>
  </si>
  <si>
    <t>Change in Other Operating Assets and Liabilities</t>
  </si>
  <si>
    <t>Other Investing Activities</t>
  </si>
  <si>
    <t>Other Financing Activities</t>
  </si>
  <si>
    <t>Net Effect of Changes in Exchange Rates</t>
  </si>
  <si>
    <t>Beginning Cash and Cash Equivalents</t>
  </si>
  <si>
    <t>Net Working Capital</t>
  </si>
  <si>
    <t>Days Inventory Outstanding (DIO)</t>
  </si>
  <si>
    <t>Days Sales Outstanding (DSO)</t>
  </si>
  <si>
    <t>Days Payable Outstanding (DPO)</t>
  </si>
  <si>
    <t>Operating Income</t>
  </si>
  <si>
    <t>Net Income</t>
  </si>
  <si>
    <t>Income Before Tax</t>
  </si>
  <si>
    <t>Change in Inventory</t>
  </si>
  <si>
    <t>Acquisitions of Businesses</t>
  </si>
  <si>
    <t>Working Capital Index (WCI)</t>
  </si>
  <si>
    <t>Cash Conversion Cycle (CCC)</t>
  </si>
  <si>
    <t>Operating Profit Margin</t>
  </si>
  <si>
    <t>Modified DuPont Model</t>
  </si>
  <si>
    <t>Income Statements and Common-Size Income Statements</t>
  </si>
  <si>
    <t>Cash Flow Statements</t>
  </si>
  <si>
    <t>Interest Coverage Ratio</t>
  </si>
  <si>
    <t>Net Debt to EBITDA Ratio</t>
  </si>
  <si>
    <t>Credit Analysis</t>
  </si>
  <si>
    <t>Proceeds from Issuance of Debt</t>
  </si>
  <si>
    <t>Payment of Dividends</t>
  </si>
  <si>
    <t>Pre-Tax Return on Invested Capital (ROIC)</t>
  </si>
  <si>
    <t>Tax Effect</t>
  </si>
  <si>
    <t>Financial Structure Effect</t>
  </si>
  <si>
    <t>Financial Cost Effect</t>
  </si>
  <si>
    <t>Financial Leverage Multiplier</t>
  </si>
  <si>
    <t>ROE</t>
  </si>
  <si>
    <t>Income Statements ($ million)</t>
  </si>
  <si>
    <t>Cash Flow Statements ($ million)</t>
  </si>
  <si>
    <t>Current</t>
  </si>
  <si>
    <t>Dividend Discount Model</t>
  </si>
  <si>
    <t>Quarterly Dividend ($)</t>
  </si>
  <si>
    <t>Cost of Equity</t>
  </si>
  <si>
    <t>A-</t>
  </si>
  <si>
    <t>Market Capitalization ($ million)</t>
  </si>
  <si>
    <t>Repurchases of Stock</t>
  </si>
  <si>
    <t>Repayment of Debt</t>
  </si>
  <si>
    <t>Enterprise Value ($ million)</t>
  </si>
  <si>
    <t>Stockholders' Equity ($ million)</t>
  </si>
  <si>
    <t>Next</t>
  </si>
  <si>
    <t>Annual</t>
  </si>
  <si>
    <t>Quartlery</t>
  </si>
  <si>
    <t>Implied Growth Rate in Dividends</t>
  </si>
  <si>
    <t>Quarterly</t>
  </si>
  <si>
    <t>Dividend Yields</t>
  </si>
  <si>
    <t>Equity Analysis and Valuation</t>
  </si>
  <si>
    <t>Peers</t>
  </si>
  <si>
    <t>#2</t>
  </si>
  <si>
    <t>#3</t>
  </si>
  <si>
    <t>#1</t>
  </si>
  <si>
    <t>Credit Ratings</t>
  </si>
  <si>
    <t>BBB+</t>
  </si>
  <si>
    <t>#4</t>
  </si>
  <si>
    <t>#5</t>
  </si>
  <si>
    <t>Reconciliation of Profit with CFFO:</t>
  </si>
  <si>
    <t>Other Non-Cash Expenses (Income)</t>
  </si>
  <si>
    <t>Change in Accounts Receivable</t>
  </si>
  <si>
    <t>A+</t>
  </si>
  <si>
    <t>Issuance of Stock</t>
  </si>
  <si>
    <t>Invested Capital Turnover</t>
  </si>
  <si>
    <t>Values ($ million)</t>
  </si>
  <si>
    <t>1. Sales</t>
  </si>
  <si>
    <t>Rate of profit-Dupont model</t>
  </si>
  <si>
    <t>2. financial Performance-NWC</t>
  </si>
  <si>
    <t>Dupont model-ROE</t>
  </si>
  <si>
    <t>Drivers-FLM, ROIC,Tax effect</t>
  </si>
  <si>
    <t>OPM affecting ROIC</t>
  </si>
  <si>
    <t>GP up cost of production going down</t>
  </si>
  <si>
    <t>Cash+NWC+PP&amp;E</t>
  </si>
  <si>
    <t>Net debt vs equity</t>
  </si>
  <si>
    <t>Interest-lower the burden, Burden is decreased from 23-24</t>
  </si>
  <si>
    <t>4. Look for cash flow, 3 uses of cash-dividends,Acquisition, PP&amp;E(capital expenditure)</t>
  </si>
  <si>
    <t>5. predictable income source for shareholder from stock-dividend; dividend yield</t>
  </si>
  <si>
    <t>7. model of cost of equity- capital asset pricing model; risk with storck-Systematic risk, beta, credit spread risk-bond</t>
  </si>
  <si>
    <t>credit quality better, credit risk lower 23-24</t>
  </si>
  <si>
    <t>Leverage, decreased 23-24</t>
  </si>
  <si>
    <t>9.  cost of debt- yield to maturity, YTM on govt bond and add credit spread</t>
  </si>
  <si>
    <t>10. cost of capital = cost of equity+debt, lower</t>
  </si>
  <si>
    <t xml:space="preserve">11. sanofi exhibit 4. YTM is imp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</si>
</sst>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8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3" fillId="0" borderId="0" xfId="0" applyFont="1"/>
    <xf numFmtId="0" fontId="5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1" fontId="3" fillId="0" borderId="0" xfId="0" applyNumberFormat="1" applyFont="1"/>
    <xf numFmtId="3" fontId="3" fillId="0" borderId="0" xfId="0" applyNumberFormat="1" applyFont="1"/>
    <xf numFmtId="0" fontId="4" fillId="0" borderId="0" xfId="0" applyFont="1" applyAlignment="1">
      <alignment horizontal="center"/>
    </xf>
    <xf numFmtId="164" fontId="3" fillId="0" borderId="0" xfId="1" applyNumberFormat="1" applyFont="1" applyBorder="1"/>
    <xf numFmtId="164" fontId="3" fillId="0" borderId="0" xfId="1" applyNumberFormat="1" applyFont="1" applyFill="1" applyBorder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left" indent="2"/>
    </xf>
    <xf numFmtId="0" fontId="4" fillId="0" borderId="1" xfId="0" applyFont="1" applyBorder="1"/>
    <xf numFmtId="0" fontId="3" fillId="0" borderId="2" xfId="0" applyFont="1" applyBorder="1"/>
    <xf numFmtId="0" fontId="3" fillId="0" borderId="3" xfId="0" applyFont="1" applyBorder="1"/>
    <xf numFmtId="3" fontId="3" fillId="0" borderId="3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3" fontId="3" fillId="0" borderId="8" xfId="0" applyNumberFormat="1" applyFont="1" applyBorder="1"/>
    <xf numFmtId="0" fontId="3" fillId="0" borderId="9" xfId="0" applyFont="1" applyBorder="1"/>
    <xf numFmtId="3" fontId="3" fillId="0" borderId="1" xfId="0" applyNumberFormat="1" applyFont="1" applyBorder="1"/>
    <xf numFmtId="1" fontId="3" fillId="0" borderId="1" xfId="0" applyNumberFormat="1" applyFont="1" applyBorder="1"/>
    <xf numFmtId="166" fontId="3" fillId="0" borderId="0" xfId="0" applyNumberFormat="1" applyFont="1"/>
    <xf numFmtId="0" fontId="3" fillId="0" borderId="0" xfId="0" applyFont="1" applyAlignment="1">
      <alignment horizontal="right"/>
    </xf>
    <xf numFmtId="0" fontId="4" fillId="0" borderId="7" xfId="0" applyFont="1" applyBorder="1"/>
    <xf numFmtId="164" fontId="3" fillId="0" borderId="8" xfId="0" applyNumberFormat="1" applyFont="1" applyBorder="1"/>
    <xf numFmtId="0" fontId="6" fillId="0" borderId="6" xfId="0" applyFont="1" applyBorder="1"/>
    <xf numFmtId="3" fontId="3" fillId="0" borderId="6" xfId="0" applyNumberFormat="1" applyFont="1" applyBorder="1"/>
    <xf numFmtId="165" fontId="3" fillId="0" borderId="8" xfId="0" applyNumberFormat="1" applyFont="1" applyBorder="1"/>
    <xf numFmtId="165" fontId="3" fillId="0" borderId="1" xfId="0" applyNumberFormat="1" applyFont="1" applyBorder="1"/>
    <xf numFmtId="4" fontId="3" fillId="0" borderId="0" xfId="0" applyNumberFormat="1" applyFont="1"/>
    <xf numFmtId="165" fontId="3" fillId="0" borderId="9" xfId="0" applyNumberFormat="1" applyFont="1" applyBorder="1"/>
    <xf numFmtId="9" fontId="3" fillId="0" borderId="0" xfId="1" applyFont="1" applyFill="1" applyBorder="1"/>
    <xf numFmtId="0" fontId="4" fillId="0" borderId="0" xfId="0" applyFont="1" applyAlignment="1">
      <alignment horizontal="right"/>
    </xf>
    <xf numFmtId="0" fontId="6" fillId="0" borderId="0" xfId="0" applyFont="1"/>
    <xf numFmtId="0" fontId="4" fillId="0" borderId="9" xfId="0" applyFont="1" applyBorder="1"/>
    <xf numFmtId="3" fontId="3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Fill="1" applyBorder="1"/>
  </cellXfs>
  <cellStyles count="7">
    <cellStyle name="Hyperlink 2" xfId="3" xr:uid="{2E62FC9C-84C3-4689-9FE2-F74120759B4A}"/>
    <cellStyle name="Normal" xfId="0" builtinId="0"/>
    <cellStyle name="Normal 2" xfId="2" xr:uid="{EEF0E320-39F2-4CA8-841A-EC95848AFEE7}"/>
    <cellStyle name="Normal 3" xfId="5" xr:uid="{8715D95D-3E39-40DD-B4BF-B9BE88DF67AE}"/>
    <cellStyle name="Percent" xfId="1" builtinId="5"/>
    <cellStyle name="Percent 2" xfId="4" xr:uid="{8A09D142-9FC1-4882-8420-C173D85586CF}"/>
    <cellStyle name="Percent 3" xfId="6" xr:uid="{667502AF-5898-48ED-BFC0-1D797DC7E47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Petitt\Dropbox%20(ASU)\Degree%20Programs\TGM%20517\2023%20Fall\Session%204\Excel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gle Cash Flow"/>
      <sheetName val="Perpetuity"/>
      <sheetName val="Growing Perpetuity"/>
      <sheetName val="Annuity"/>
      <sheetName val="Growing Annuity"/>
      <sheetName val="Interest Rate Conversion"/>
    </sheetNames>
    <sheetDataSet>
      <sheetData sheetId="0">
        <row r="3">
          <cell r="D3">
            <v>1</v>
          </cell>
        </row>
        <row r="4">
          <cell r="D4">
            <v>1</v>
          </cell>
        </row>
        <row r="5">
          <cell r="D5">
            <v>0.1</v>
          </cell>
        </row>
      </sheetData>
      <sheetData sheetId="1">
        <row r="5">
          <cell r="D5">
            <v>1</v>
          </cell>
        </row>
        <row r="6">
          <cell r="D6">
            <v>0.1</v>
          </cell>
        </row>
      </sheetData>
      <sheetData sheetId="2">
        <row r="5">
          <cell r="D5">
            <v>1</v>
          </cell>
        </row>
        <row r="6">
          <cell r="D6">
            <v>0.01</v>
          </cell>
        </row>
        <row r="7">
          <cell r="D7">
            <v>0.1</v>
          </cell>
        </row>
      </sheetData>
      <sheetData sheetId="3">
        <row r="5">
          <cell r="D5">
            <v>1</v>
          </cell>
        </row>
        <row r="6">
          <cell r="D6">
            <v>10</v>
          </cell>
        </row>
        <row r="7">
          <cell r="D7">
            <v>0.1</v>
          </cell>
        </row>
      </sheetData>
      <sheetData sheetId="4">
        <row r="5">
          <cell r="D5">
            <v>1</v>
          </cell>
        </row>
        <row r="6">
          <cell r="D6">
            <v>0.01</v>
          </cell>
        </row>
        <row r="7">
          <cell r="D7">
            <v>10</v>
          </cell>
        </row>
        <row r="8">
          <cell r="D8">
            <v>0.1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6930-A3B2-4690-96DF-A1C93C547D49}">
  <sheetPr>
    <pageSetUpPr fitToPage="1"/>
  </sheetPr>
  <dimension ref="B1:M134"/>
  <sheetViews>
    <sheetView showGridLines="0" tabSelected="1" topLeftCell="D124" zoomScaleNormal="100" workbookViewId="0">
      <selection activeCell="I134" sqref="I134"/>
    </sheetView>
  </sheetViews>
  <sheetFormatPr defaultColWidth="12.59765625" defaultRowHeight="15.6" x14ac:dyDescent="0.3"/>
  <cols>
    <col min="1" max="2" width="2.59765625" style="4" customWidth="1"/>
    <col min="3" max="3" width="40.59765625" style="4" customWidth="1"/>
    <col min="4" max="4" width="2.59765625" style="4" customWidth="1"/>
    <col min="5" max="7" width="15.59765625" style="8" customWidth="1"/>
    <col min="8" max="8" width="2.59765625" style="4" customWidth="1"/>
    <col min="9" max="11" width="15.59765625" style="4" customWidth="1"/>
    <col min="12" max="12" width="2.59765625" style="4" customWidth="1"/>
    <col min="13" max="16384" width="12.59765625" style="4"/>
  </cols>
  <sheetData>
    <row r="1" spans="2:13" ht="16.2" thickBot="1" x14ac:dyDescent="0.35"/>
    <row r="2" spans="2:13" x14ac:dyDescent="0.3">
      <c r="B2" s="16"/>
      <c r="C2" s="17"/>
      <c r="D2" s="17"/>
      <c r="E2" s="18"/>
      <c r="F2" s="18"/>
      <c r="G2" s="18"/>
      <c r="H2" s="17"/>
      <c r="I2" s="17"/>
      <c r="J2" s="17"/>
      <c r="K2" s="17"/>
      <c r="L2" s="19"/>
      <c r="M2" s="4" t="s">
        <v>78</v>
      </c>
    </row>
    <row r="3" spans="2:13" x14ac:dyDescent="0.3">
      <c r="B3" s="20"/>
      <c r="C3" s="43" t="s">
        <v>31</v>
      </c>
      <c r="D3" s="43"/>
      <c r="E3" s="43"/>
      <c r="F3" s="43"/>
      <c r="G3" s="43"/>
      <c r="H3" s="43"/>
      <c r="I3" s="43"/>
      <c r="J3" s="43"/>
      <c r="K3" s="43"/>
      <c r="L3" s="21"/>
      <c r="M3" s="4" t="s">
        <v>79</v>
      </c>
    </row>
    <row r="4" spans="2:13" x14ac:dyDescent="0.3">
      <c r="B4" s="20"/>
      <c r="C4" s="1"/>
      <c r="D4" s="1"/>
      <c r="L4" s="21"/>
      <c r="M4" s="4" t="s">
        <v>80</v>
      </c>
    </row>
    <row r="5" spans="2:13" x14ac:dyDescent="0.3">
      <c r="B5" s="20"/>
      <c r="D5" s="1"/>
      <c r="E5" s="44" t="s">
        <v>44</v>
      </c>
      <c r="F5" s="44"/>
      <c r="G5" s="44"/>
      <c r="I5" s="44" t="s">
        <v>3</v>
      </c>
      <c r="J5" s="44"/>
      <c r="K5" s="44"/>
      <c r="L5" s="21"/>
      <c r="M5" s="45" t="s">
        <v>81</v>
      </c>
    </row>
    <row r="6" spans="2:13" x14ac:dyDescent="0.3">
      <c r="B6" s="20"/>
      <c r="L6" s="21"/>
      <c r="M6" s="45" t="s">
        <v>82</v>
      </c>
    </row>
    <row r="7" spans="2:13" x14ac:dyDescent="0.3">
      <c r="B7" s="20"/>
      <c r="E7" s="15">
        <v>2024</v>
      </c>
      <c r="F7" s="15">
        <v>2023</v>
      </c>
      <c r="G7" s="15">
        <v>2022</v>
      </c>
      <c r="I7" s="15">
        <v>2024</v>
      </c>
      <c r="J7" s="15">
        <v>2023</v>
      </c>
      <c r="K7" s="15">
        <v>2022</v>
      </c>
      <c r="L7" s="21"/>
      <c r="M7" s="45" t="s">
        <v>88</v>
      </c>
    </row>
    <row r="8" spans="2:13" x14ac:dyDescent="0.3">
      <c r="B8" s="20"/>
      <c r="E8" s="4"/>
      <c r="F8" s="4"/>
      <c r="G8" s="4"/>
      <c r="L8" s="21"/>
      <c r="M8" s="4">
        <v>5</v>
      </c>
    </row>
    <row r="9" spans="2:13" s="1" customFormat="1" x14ac:dyDescent="0.3">
      <c r="B9" s="2"/>
      <c r="C9" s="4" t="s">
        <v>0</v>
      </c>
      <c r="D9" s="4"/>
      <c r="E9" s="8">
        <v>64168</v>
      </c>
      <c r="F9" s="8">
        <v>60115</v>
      </c>
      <c r="G9" s="8">
        <v>59283</v>
      </c>
      <c r="I9" s="10">
        <f>E9/E$9</f>
        <v>1</v>
      </c>
      <c r="J9" s="10">
        <f t="shared" ref="J9:K9" si="0">F9/F$9</f>
        <v>1</v>
      </c>
      <c r="K9" s="10">
        <f t="shared" si="0"/>
        <v>1</v>
      </c>
      <c r="L9" s="3"/>
    </row>
    <row r="10" spans="2:13" s="1" customFormat="1" x14ac:dyDescent="0.3">
      <c r="B10" s="2"/>
      <c r="C10" s="4" t="s">
        <v>6</v>
      </c>
      <c r="D10" s="4"/>
      <c r="E10" s="8">
        <v>48975</v>
      </c>
      <c r="F10" s="8">
        <v>43989</v>
      </c>
      <c r="G10" s="8">
        <v>41872</v>
      </c>
      <c r="I10" s="10">
        <f t="shared" ref="I10:I13" si="1">E10/E$9</f>
        <v>0.76323089390350329</v>
      </c>
      <c r="J10" s="10">
        <f t="shared" ref="J10:J13" si="2">F10/F$9</f>
        <v>0.73174748398902101</v>
      </c>
      <c r="K10" s="10">
        <f t="shared" ref="K10:K13" si="3">G10/G$9</f>
        <v>0.70630703574380516</v>
      </c>
      <c r="L10" s="3"/>
      <c r="M10" s="1" t="s">
        <v>84</v>
      </c>
    </row>
    <row r="11" spans="2:13" s="1" customFormat="1" x14ac:dyDescent="0.3">
      <c r="B11" s="2"/>
      <c r="C11" s="4" t="s">
        <v>22</v>
      </c>
      <c r="D11" s="4"/>
      <c r="E11" s="8">
        <v>21492</v>
      </c>
      <c r="F11" s="8">
        <v>4100</v>
      </c>
      <c r="G11" s="8">
        <v>19244</v>
      </c>
      <c r="I11" s="10">
        <f t="shared" si="1"/>
        <v>0.3349333000872709</v>
      </c>
      <c r="J11" s="10">
        <f t="shared" si="2"/>
        <v>6.8202611660983112E-2</v>
      </c>
      <c r="K11" s="10">
        <f t="shared" si="3"/>
        <v>0.32461245213636286</v>
      </c>
      <c r="L11" s="3"/>
    </row>
    <row r="12" spans="2:13" s="1" customFormat="1" x14ac:dyDescent="0.3">
      <c r="B12" s="2"/>
      <c r="C12" s="4" t="s">
        <v>24</v>
      </c>
      <c r="D12" s="4"/>
      <c r="E12" s="8">
        <v>19936</v>
      </c>
      <c r="F12" s="8">
        <v>1889</v>
      </c>
      <c r="G12" s="8">
        <v>16444</v>
      </c>
      <c r="I12" s="10">
        <f t="shared" si="1"/>
        <v>0.31068445331006111</v>
      </c>
      <c r="J12" s="10">
        <f t="shared" si="2"/>
        <v>3.1423105714048077E-2</v>
      </c>
      <c r="K12" s="10">
        <f t="shared" si="3"/>
        <v>0.27738137408700642</v>
      </c>
      <c r="L12" s="3"/>
    </row>
    <row r="13" spans="2:13" s="1" customFormat="1" x14ac:dyDescent="0.3">
      <c r="B13" s="2"/>
      <c r="C13" s="4" t="s">
        <v>23</v>
      </c>
      <c r="D13" s="4"/>
      <c r="E13" s="8">
        <v>17133</v>
      </c>
      <c r="F13" s="8">
        <v>377</v>
      </c>
      <c r="G13" s="8">
        <v>14526</v>
      </c>
      <c r="I13" s="10">
        <f t="shared" si="1"/>
        <v>0.2670022441092133</v>
      </c>
      <c r="J13" s="10">
        <f t="shared" si="2"/>
        <v>6.2713133161440568E-3</v>
      </c>
      <c r="K13" s="10">
        <f t="shared" si="3"/>
        <v>0.24502808562319719</v>
      </c>
      <c r="L13" s="3"/>
    </row>
    <row r="14" spans="2:13" ht="16.2" thickBot="1" x14ac:dyDescent="0.35">
      <c r="B14" s="22"/>
      <c r="C14" s="23"/>
      <c r="D14" s="23"/>
      <c r="E14" s="24"/>
      <c r="F14" s="24"/>
      <c r="G14" s="24"/>
      <c r="H14" s="23"/>
      <c r="I14" s="23"/>
      <c r="J14" s="23"/>
      <c r="K14" s="23"/>
      <c r="L14" s="25"/>
    </row>
    <row r="15" spans="2:13" ht="16.2" thickBot="1" x14ac:dyDescent="0.35"/>
    <row r="16" spans="2:13" x14ac:dyDescent="0.3">
      <c r="B16" s="16"/>
      <c r="C16" s="17"/>
      <c r="D16" s="17"/>
      <c r="E16" s="18"/>
      <c r="F16" s="18"/>
      <c r="G16" s="18"/>
      <c r="H16" s="19"/>
    </row>
    <row r="17" spans="2:8" x14ac:dyDescent="0.3">
      <c r="B17" s="20"/>
      <c r="C17" s="43" t="s">
        <v>32</v>
      </c>
      <c r="D17" s="43"/>
      <c r="E17" s="43"/>
      <c r="F17" s="43"/>
      <c r="G17" s="43"/>
      <c r="H17" s="21"/>
    </row>
    <row r="18" spans="2:8" x14ac:dyDescent="0.3">
      <c r="B18" s="20"/>
      <c r="H18" s="21"/>
    </row>
    <row r="19" spans="2:8" x14ac:dyDescent="0.3">
      <c r="B19" s="20"/>
      <c r="E19" s="44" t="s">
        <v>45</v>
      </c>
      <c r="F19" s="44"/>
      <c r="G19" s="44"/>
      <c r="H19" s="21"/>
    </row>
    <row r="20" spans="2:8" x14ac:dyDescent="0.3">
      <c r="B20" s="20"/>
      <c r="H20" s="21"/>
    </row>
    <row r="21" spans="2:8" x14ac:dyDescent="0.3">
      <c r="B21" s="20"/>
      <c r="E21" s="15">
        <v>2024</v>
      </c>
      <c r="F21" s="15">
        <v>2023</v>
      </c>
      <c r="G21" s="15">
        <v>2022</v>
      </c>
      <c r="H21" s="21"/>
    </row>
    <row r="22" spans="2:8" x14ac:dyDescent="0.3">
      <c r="B22" s="20"/>
      <c r="E22" s="4"/>
      <c r="F22" s="4"/>
      <c r="G22" s="4"/>
      <c r="H22" s="21"/>
    </row>
    <row r="23" spans="2:8" x14ac:dyDescent="0.3">
      <c r="B23" s="2"/>
      <c r="C23" s="4" t="s">
        <v>23</v>
      </c>
      <c r="E23" s="8">
        <f>E13</f>
        <v>17133</v>
      </c>
      <c r="F23" s="8">
        <f t="shared" ref="F23:G23" si="4">F13</f>
        <v>377</v>
      </c>
      <c r="G23" s="8">
        <f t="shared" si="4"/>
        <v>14526</v>
      </c>
      <c r="H23" s="3"/>
    </row>
    <row r="24" spans="2:8" x14ac:dyDescent="0.3">
      <c r="B24" s="20"/>
      <c r="C24" t="s">
        <v>71</v>
      </c>
      <c r="H24" s="21"/>
    </row>
    <row r="25" spans="2:8" x14ac:dyDescent="0.3">
      <c r="B25" s="20"/>
      <c r="C25" s="6" t="s">
        <v>11</v>
      </c>
      <c r="E25" s="8">
        <v>4499</v>
      </c>
      <c r="F25" s="8">
        <v>3872</v>
      </c>
      <c r="G25" s="8">
        <v>3909</v>
      </c>
      <c r="H25" s="21"/>
    </row>
    <row r="26" spans="2:8" x14ac:dyDescent="0.3">
      <c r="B26" s="20"/>
      <c r="C26" s="6" t="s">
        <v>72</v>
      </c>
      <c r="E26" s="8">
        <v>3503</v>
      </c>
      <c r="F26" s="8">
        <v>10962</v>
      </c>
      <c r="G26" s="8">
        <v>3442</v>
      </c>
      <c r="H26" s="21"/>
    </row>
    <row r="27" spans="2:8" x14ac:dyDescent="0.3">
      <c r="B27" s="20"/>
      <c r="C27" t="s">
        <v>2</v>
      </c>
      <c r="H27" s="21"/>
    </row>
    <row r="28" spans="2:8" x14ac:dyDescent="0.3">
      <c r="B28" s="20"/>
      <c r="C28" s="6" t="s">
        <v>73</v>
      </c>
      <c r="E28" s="8">
        <v>-244</v>
      </c>
      <c r="F28" s="8">
        <v>-1148</v>
      </c>
      <c r="G28" s="8">
        <v>-644</v>
      </c>
      <c r="H28" s="21"/>
    </row>
    <row r="29" spans="2:8" x14ac:dyDescent="0.3">
      <c r="B29" s="20"/>
      <c r="C29" s="6" t="s">
        <v>25</v>
      </c>
      <c r="E29" s="8">
        <v>-835</v>
      </c>
      <c r="F29" s="8">
        <v>-816</v>
      </c>
      <c r="G29" s="8">
        <v>-161</v>
      </c>
      <c r="H29" s="21"/>
    </row>
    <row r="30" spans="2:8" x14ac:dyDescent="0.3">
      <c r="B30" s="20"/>
      <c r="C30" s="6" t="s">
        <v>12</v>
      </c>
      <c r="E30" s="8">
        <v>182</v>
      </c>
      <c r="F30" s="8">
        <v>-380</v>
      </c>
      <c r="G30" s="8">
        <v>-289</v>
      </c>
      <c r="H30" s="21"/>
    </row>
    <row r="31" spans="2:8" x14ac:dyDescent="0.3">
      <c r="B31" s="20"/>
      <c r="C31" s="6" t="s">
        <v>13</v>
      </c>
      <c r="E31" s="26">
        <v>-2770</v>
      </c>
      <c r="F31" s="26">
        <v>139</v>
      </c>
      <c r="G31" s="26">
        <v>-1688</v>
      </c>
      <c r="H31" s="21"/>
    </row>
    <row r="32" spans="2:8" x14ac:dyDescent="0.3">
      <c r="B32" s="2"/>
      <c r="C32" s="4" t="s">
        <v>7</v>
      </c>
      <c r="E32" s="8">
        <f>E23+SUM(E25:E26)+SUM(E28:E31)</f>
        <v>21468</v>
      </c>
      <c r="F32" s="8">
        <f t="shared" ref="F32:G32" si="5">F23+SUM(F25:F26)+SUM(F28:F31)</f>
        <v>13006</v>
      </c>
      <c r="G32" s="8">
        <f t="shared" si="5"/>
        <v>19095</v>
      </c>
      <c r="H32" s="3"/>
    </row>
    <row r="33" spans="2:11" x14ac:dyDescent="0.3">
      <c r="B33" s="2"/>
      <c r="H33" s="3"/>
    </row>
    <row r="34" spans="2:11" x14ac:dyDescent="0.3">
      <c r="B34" s="20"/>
      <c r="C34" s="5" t="s">
        <v>10</v>
      </c>
      <c r="E34" s="8">
        <v>-3372</v>
      </c>
      <c r="F34" s="8">
        <v>-3863</v>
      </c>
      <c r="G34" s="8">
        <v>-4388</v>
      </c>
      <c r="H34" s="21"/>
    </row>
    <row r="35" spans="2:11" x14ac:dyDescent="0.3">
      <c r="B35" s="20"/>
      <c r="C35" s="5" t="s">
        <v>26</v>
      </c>
      <c r="E35" s="8">
        <v>-4093</v>
      </c>
      <c r="F35" s="8">
        <v>-12032</v>
      </c>
      <c r="G35" s="8">
        <v>0</v>
      </c>
      <c r="H35" s="21"/>
    </row>
    <row r="36" spans="2:11" x14ac:dyDescent="0.3">
      <c r="B36" s="20"/>
      <c r="C36" s="5" t="s">
        <v>14</v>
      </c>
      <c r="E36" s="26">
        <v>-269</v>
      </c>
      <c r="F36" s="26">
        <v>1812</v>
      </c>
      <c r="G36" s="26">
        <v>-572</v>
      </c>
      <c r="H36" s="21"/>
    </row>
    <row r="37" spans="2:11" x14ac:dyDescent="0.3">
      <c r="B37" s="2"/>
      <c r="C37" s="4" t="s">
        <v>8</v>
      </c>
      <c r="E37" s="8">
        <f>SUM(E34:E36)</f>
        <v>-7734</v>
      </c>
      <c r="F37" s="8">
        <f t="shared" ref="F37:G37" si="6">SUM(F34:F36)</f>
        <v>-14083</v>
      </c>
      <c r="G37" s="8">
        <f t="shared" si="6"/>
        <v>-4960</v>
      </c>
      <c r="H37" s="3"/>
      <c r="J37" s="8"/>
      <c r="K37" s="8"/>
    </row>
    <row r="38" spans="2:11" x14ac:dyDescent="0.3">
      <c r="B38" s="2"/>
      <c r="H38" s="3"/>
      <c r="J38" s="8"/>
    </row>
    <row r="39" spans="2:11" x14ac:dyDescent="0.3">
      <c r="B39" s="2"/>
      <c r="C39" s="6" t="s">
        <v>36</v>
      </c>
      <c r="E39" s="8">
        <v>3599</v>
      </c>
      <c r="F39" s="8">
        <v>5939</v>
      </c>
      <c r="G39" s="8">
        <v>0</v>
      </c>
      <c r="H39" s="3"/>
    </row>
    <row r="40" spans="2:11" x14ac:dyDescent="0.3">
      <c r="B40" s="2"/>
      <c r="C40" s="6" t="s">
        <v>53</v>
      </c>
      <c r="E40" s="8">
        <v>-1290</v>
      </c>
      <c r="F40" s="8">
        <v>-1755</v>
      </c>
      <c r="G40" s="8">
        <v>-2251</v>
      </c>
      <c r="H40" s="3"/>
    </row>
    <row r="41" spans="2:11" x14ac:dyDescent="0.3">
      <c r="B41" s="2"/>
      <c r="C41" s="6" t="s">
        <v>75</v>
      </c>
      <c r="E41" s="8">
        <v>0</v>
      </c>
      <c r="F41" s="8">
        <v>0</v>
      </c>
      <c r="G41" s="8">
        <v>0</v>
      </c>
      <c r="H41" s="3"/>
    </row>
    <row r="42" spans="2:11" x14ac:dyDescent="0.3">
      <c r="B42" s="2"/>
      <c r="C42" s="6" t="s">
        <v>37</v>
      </c>
      <c r="E42" s="8">
        <v>-7840</v>
      </c>
      <c r="F42" s="8">
        <v>-7445</v>
      </c>
      <c r="G42" s="8">
        <v>-7012</v>
      </c>
      <c r="H42" s="3"/>
    </row>
    <row r="43" spans="2:11" x14ac:dyDescent="0.3">
      <c r="B43" s="2"/>
      <c r="C43" s="6" t="s">
        <v>52</v>
      </c>
      <c r="E43" s="8">
        <v>-1306</v>
      </c>
      <c r="F43" s="8">
        <v>-1346</v>
      </c>
      <c r="G43" s="8">
        <v>0</v>
      </c>
      <c r="H43" s="3"/>
    </row>
    <row r="44" spans="2:11" x14ac:dyDescent="0.3">
      <c r="B44" s="20"/>
      <c r="C44" s="6" t="s">
        <v>15</v>
      </c>
      <c r="E44" s="26">
        <v>-195</v>
      </c>
      <c r="F44" s="26">
        <v>-203</v>
      </c>
      <c r="G44" s="26">
        <v>144</v>
      </c>
      <c r="H44" s="21"/>
    </row>
    <row r="45" spans="2:11" x14ac:dyDescent="0.3">
      <c r="B45" s="2"/>
      <c r="C45" s="4" t="s">
        <v>9</v>
      </c>
      <c r="E45" s="8">
        <f>SUM(E39:E44)</f>
        <v>-7032</v>
      </c>
      <c r="F45" s="8">
        <f t="shared" ref="F45:G45" si="7">SUM(F39:F44)</f>
        <v>-4810</v>
      </c>
      <c r="G45" s="8">
        <f t="shared" si="7"/>
        <v>-9119</v>
      </c>
      <c r="H45" s="3"/>
    </row>
    <row r="46" spans="2:11" x14ac:dyDescent="0.3">
      <c r="B46" s="2"/>
      <c r="H46" s="3"/>
    </row>
    <row r="47" spans="2:11" x14ac:dyDescent="0.3">
      <c r="B47" s="20"/>
      <c r="C47" s="4" t="s">
        <v>16</v>
      </c>
      <c r="E47" s="8">
        <v>-293</v>
      </c>
      <c r="F47" s="8">
        <v>23</v>
      </c>
      <c r="G47" s="8">
        <v>-410</v>
      </c>
      <c r="H47" s="21"/>
    </row>
    <row r="48" spans="2:11" x14ac:dyDescent="0.3">
      <c r="B48" s="20"/>
      <c r="H48" s="21"/>
    </row>
    <row r="49" spans="2:10" x14ac:dyDescent="0.3">
      <c r="B49" s="20"/>
      <c r="C49" s="6" t="s">
        <v>5</v>
      </c>
      <c r="E49" s="8">
        <f>E32+E37+E45+E47</f>
        <v>6409</v>
      </c>
      <c r="F49" s="8">
        <f t="shared" ref="F49:G49" si="8">F32+F37+F45+F47</f>
        <v>-5864</v>
      </c>
      <c r="G49" s="8">
        <f t="shared" si="8"/>
        <v>4606</v>
      </c>
      <c r="H49" s="21"/>
    </row>
    <row r="50" spans="2:10" x14ac:dyDescent="0.3">
      <c r="B50" s="20"/>
      <c r="C50" s="6" t="s">
        <v>17</v>
      </c>
      <c r="E50" s="8">
        <f>F51</f>
        <v>6909</v>
      </c>
      <c r="F50" s="8">
        <f>G51</f>
        <v>12773</v>
      </c>
      <c r="G50" s="8">
        <v>8167</v>
      </c>
      <c r="H50" s="21"/>
    </row>
    <row r="51" spans="2:10" x14ac:dyDescent="0.3">
      <c r="B51" s="2"/>
      <c r="C51" s="4" t="s">
        <v>1</v>
      </c>
      <c r="E51" s="8">
        <f>E49+E50</f>
        <v>13318</v>
      </c>
      <c r="F51" s="8">
        <f t="shared" ref="F51:G51" si="9">F49+F50</f>
        <v>6909</v>
      </c>
      <c r="G51" s="8">
        <f t="shared" si="9"/>
        <v>12773</v>
      </c>
      <c r="H51" s="3"/>
    </row>
    <row r="52" spans="2:10" ht="16.2" thickBot="1" x14ac:dyDescent="0.35">
      <c r="B52" s="22"/>
      <c r="C52" s="23"/>
      <c r="D52" s="23"/>
      <c r="E52" s="24"/>
      <c r="F52" s="24"/>
      <c r="G52" s="24"/>
      <c r="H52" s="25"/>
    </row>
    <row r="53" spans="2:10" ht="16.2" thickBot="1" x14ac:dyDescent="0.35"/>
    <row r="54" spans="2:10" x14ac:dyDescent="0.3">
      <c r="B54" s="16"/>
      <c r="C54" s="17"/>
      <c r="D54" s="17"/>
      <c r="E54" s="17"/>
      <c r="F54" s="17"/>
      <c r="G54" s="17"/>
      <c r="H54" s="19"/>
    </row>
    <row r="55" spans="2:10" x14ac:dyDescent="0.3">
      <c r="B55" s="20"/>
      <c r="C55" s="43" t="s">
        <v>30</v>
      </c>
      <c r="D55" s="43"/>
      <c r="E55" s="43"/>
      <c r="F55" s="43"/>
      <c r="G55" s="43"/>
      <c r="H55" s="32"/>
      <c r="I55" s="40"/>
      <c r="J55" s="40"/>
    </row>
    <row r="56" spans="2:10" x14ac:dyDescent="0.3">
      <c r="B56" s="20"/>
      <c r="E56" s="4"/>
      <c r="F56" s="4"/>
      <c r="G56" s="4"/>
      <c r="H56" s="21"/>
    </row>
    <row r="57" spans="2:10" x14ac:dyDescent="0.3">
      <c r="B57" s="20"/>
      <c r="E57" s="15">
        <v>2024</v>
      </c>
      <c r="F57" s="15">
        <v>2023</v>
      </c>
      <c r="G57" s="15">
        <v>2022</v>
      </c>
      <c r="H57" s="21"/>
      <c r="I57" s="39"/>
    </row>
    <row r="58" spans="2:10" x14ac:dyDescent="0.3">
      <c r="B58" s="20"/>
      <c r="E58" s="4"/>
      <c r="F58" s="4"/>
      <c r="G58" s="4"/>
      <c r="H58" s="21"/>
    </row>
    <row r="59" spans="2:10" x14ac:dyDescent="0.3">
      <c r="B59" s="20"/>
      <c r="C59" s="4" t="s">
        <v>4</v>
      </c>
      <c r="E59" s="12">
        <v>6.7420776844381525E-2</v>
      </c>
      <c r="F59" s="12">
        <v>1.4034377477523119E-2</v>
      </c>
      <c r="G59" s="12">
        <v>0.21721008541392894</v>
      </c>
      <c r="H59" s="21"/>
      <c r="I59" s="12"/>
    </row>
    <row r="60" spans="2:10" x14ac:dyDescent="0.3">
      <c r="B60" s="20"/>
      <c r="E60" s="12"/>
      <c r="F60" s="12"/>
      <c r="G60" s="12"/>
      <c r="H60" s="21"/>
      <c r="I60" s="12"/>
    </row>
    <row r="61" spans="2:10" x14ac:dyDescent="0.3">
      <c r="B61" s="2"/>
      <c r="C61" s="14" t="s">
        <v>29</v>
      </c>
      <c r="E61" s="12">
        <v>0.3349333000872709</v>
      </c>
      <c r="F61" s="12">
        <v>6.8202611660983112E-2</v>
      </c>
      <c r="G61" s="12">
        <v>0.32461245213636286</v>
      </c>
      <c r="H61" s="21"/>
      <c r="I61" s="12" t="s">
        <v>83</v>
      </c>
    </row>
    <row r="62" spans="2:10" x14ac:dyDescent="0.3">
      <c r="B62" s="2"/>
      <c r="C62" s="14" t="s">
        <v>76</v>
      </c>
      <c r="E62" s="35">
        <v>0.70255652269119173</v>
      </c>
      <c r="F62" s="35">
        <v>0.7299673357376173</v>
      </c>
      <c r="G62" s="35">
        <v>0.68245708957371609</v>
      </c>
      <c r="H62" s="21"/>
      <c r="I62" s="13" t="s">
        <v>85</v>
      </c>
    </row>
    <row r="63" spans="2:10" x14ac:dyDescent="0.3">
      <c r="B63" s="2"/>
      <c r="C63" s="6" t="s">
        <v>38</v>
      </c>
      <c r="E63" s="12">
        <f>E61*E62</f>
        <v>0.23530957464279847</v>
      </c>
      <c r="F63" s="12">
        <f t="shared" ref="F63:G63" si="10">F61*F62</f>
        <v>4.9785678724515191E-2</v>
      </c>
      <c r="G63" s="12">
        <f t="shared" si="10"/>
        <v>0.22153406932436942</v>
      </c>
      <c r="H63" s="21"/>
      <c r="I63" s="12"/>
    </row>
    <row r="64" spans="2:10" x14ac:dyDescent="0.3">
      <c r="B64" s="2"/>
      <c r="C64" s="6"/>
      <c r="E64" s="12"/>
      <c r="F64" s="12"/>
      <c r="G64" s="12"/>
      <c r="H64" s="21"/>
      <c r="I64" s="12"/>
    </row>
    <row r="65" spans="2:9" x14ac:dyDescent="0.3">
      <c r="B65" s="2"/>
      <c r="C65" s="14" t="s">
        <v>40</v>
      </c>
      <c r="E65" s="13">
        <v>1.9721244574957355</v>
      </c>
      <c r="F65" s="13">
        <v>2.191346691147122</v>
      </c>
      <c r="G65" s="13">
        <v>1.8887825878976321</v>
      </c>
      <c r="H65" s="21"/>
      <c r="I65" s="12" t="s">
        <v>86</v>
      </c>
    </row>
    <row r="66" spans="2:9" x14ac:dyDescent="0.3">
      <c r="B66" s="2"/>
      <c r="C66" s="14" t="s">
        <v>41</v>
      </c>
      <c r="E66" s="35">
        <v>0.92760096780197288</v>
      </c>
      <c r="F66" s="35">
        <v>0.46073170731707319</v>
      </c>
      <c r="G66" s="35">
        <v>0.85450010392849718</v>
      </c>
      <c r="H66" s="21"/>
      <c r="I66" s="12" t="s">
        <v>87</v>
      </c>
    </row>
    <row r="67" spans="2:9" x14ac:dyDescent="0.3">
      <c r="B67" s="2"/>
      <c r="C67" s="6" t="s">
        <v>42</v>
      </c>
      <c r="E67" s="13">
        <f>E65*E66</f>
        <v>1.8293445553989849</v>
      </c>
      <c r="F67" s="13">
        <f t="shared" ref="F67:G67" si="11">F65*F66</f>
        <v>1.0096229023358325</v>
      </c>
      <c r="G67" s="13">
        <f t="shared" si="11"/>
        <v>1.6139649176568625</v>
      </c>
      <c r="H67" s="21"/>
      <c r="I67" s="12"/>
    </row>
    <row r="68" spans="2:9" x14ac:dyDescent="0.3">
      <c r="B68" s="2"/>
      <c r="C68" s="6"/>
      <c r="E68" s="12"/>
      <c r="F68" s="12"/>
      <c r="G68" s="12"/>
      <c r="H68" s="21"/>
      <c r="I68" s="12"/>
    </row>
    <row r="69" spans="2:9" x14ac:dyDescent="0.3">
      <c r="B69" s="2"/>
      <c r="C69" s="6" t="s">
        <v>39</v>
      </c>
      <c r="E69" s="13">
        <v>0.8585975120385233</v>
      </c>
      <c r="F69" s="13">
        <v>0.19322392800423505</v>
      </c>
      <c r="G69" s="13">
        <v>0.88293602529798099</v>
      </c>
      <c r="H69" s="21"/>
      <c r="I69" s="12"/>
    </row>
    <row r="70" spans="2:9" x14ac:dyDescent="0.3">
      <c r="B70" s="2"/>
      <c r="C70" s="6"/>
      <c r="E70" s="13"/>
      <c r="F70" s="13"/>
      <c r="G70" s="13"/>
      <c r="H70" s="21"/>
      <c r="I70" s="12"/>
    </row>
    <row r="71" spans="2:9" x14ac:dyDescent="0.3">
      <c r="B71" s="2"/>
      <c r="C71" s="4" t="s">
        <v>43</v>
      </c>
      <c r="E71" s="12">
        <f>E63*E67*E69</f>
        <v>0.36959385053872562</v>
      </c>
      <c r="F71" s="12">
        <f t="shared" ref="F71:G71" si="12">F63*F67*F69</f>
        <v>9.7123546472951735E-3</v>
      </c>
      <c r="G71" s="12">
        <f t="shared" si="12"/>
        <v>0.31569220064795284</v>
      </c>
      <c r="H71" s="3"/>
      <c r="I71" s="12"/>
    </row>
    <row r="72" spans="2:9" ht="16.2" thickBot="1" x14ac:dyDescent="0.35">
      <c r="B72" s="30"/>
      <c r="C72" s="23"/>
      <c r="D72" s="23"/>
      <c r="E72" s="31"/>
      <c r="F72" s="31"/>
      <c r="G72" s="31"/>
      <c r="H72" s="41"/>
    </row>
    <row r="73" spans="2:9" ht="16.2" thickBot="1" x14ac:dyDescent="0.35">
      <c r="B73" s="1"/>
      <c r="E73" s="12"/>
      <c r="F73" s="12"/>
      <c r="G73" s="12"/>
      <c r="H73" s="1"/>
    </row>
    <row r="74" spans="2:9" x14ac:dyDescent="0.3">
      <c r="B74" s="16"/>
      <c r="C74" s="17"/>
      <c r="D74" s="17"/>
      <c r="E74" s="17"/>
      <c r="F74" s="17"/>
      <c r="G74" s="17"/>
      <c r="H74" s="19"/>
    </row>
    <row r="75" spans="2:9" x14ac:dyDescent="0.3">
      <c r="B75" s="20"/>
      <c r="C75" s="43" t="s">
        <v>18</v>
      </c>
      <c r="D75" s="43"/>
      <c r="E75" s="43"/>
      <c r="F75" s="43"/>
      <c r="G75" s="43"/>
      <c r="H75" s="32"/>
      <c r="I75" s="40"/>
    </row>
    <row r="76" spans="2:9" x14ac:dyDescent="0.3">
      <c r="B76" s="20"/>
      <c r="C76" s="1"/>
      <c r="E76" s="4"/>
      <c r="F76" s="4"/>
      <c r="G76" s="4"/>
      <c r="H76" s="21"/>
    </row>
    <row r="77" spans="2:9" x14ac:dyDescent="0.3">
      <c r="B77" s="20"/>
      <c r="E77" s="15">
        <v>2024</v>
      </c>
      <c r="F77" s="15">
        <v>2023</v>
      </c>
      <c r="G77" s="15">
        <v>2022</v>
      </c>
      <c r="H77" s="21"/>
      <c r="I77" s="39"/>
    </row>
    <row r="78" spans="2:9" x14ac:dyDescent="0.3">
      <c r="B78" s="20"/>
      <c r="E78" s="9"/>
      <c r="F78" s="9"/>
      <c r="G78" s="9"/>
      <c r="H78" s="21"/>
    </row>
    <row r="79" spans="2:9" x14ac:dyDescent="0.3">
      <c r="B79" s="20"/>
      <c r="C79" s="4" t="s">
        <v>27</v>
      </c>
      <c r="D79" s="1"/>
      <c r="E79" s="38">
        <v>0.19180900137140008</v>
      </c>
      <c r="F79" s="38">
        <v>0.21267570489894369</v>
      </c>
      <c r="G79" s="38">
        <v>0.18718688325489602</v>
      </c>
      <c r="H79" s="21"/>
      <c r="I79" s="11"/>
    </row>
    <row r="80" spans="2:9" x14ac:dyDescent="0.3">
      <c r="B80" s="20"/>
      <c r="D80" s="1"/>
      <c r="E80" s="7"/>
      <c r="F80" s="7"/>
      <c r="G80" s="7"/>
      <c r="H80" s="21"/>
      <c r="I80" s="7"/>
    </row>
    <row r="81" spans="2:9" x14ac:dyDescent="0.3">
      <c r="B81" s="2"/>
      <c r="C81" s="6" t="s">
        <v>19</v>
      </c>
      <c r="D81" s="1"/>
      <c r="E81" s="7">
        <v>146.76397024945697</v>
      </c>
      <c r="F81" s="7">
        <v>143.90859481582538</v>
      </c>
      <c r="G81" s="7">
        <v>123.91677675033024</v>
      </c>
      <c r="H81" s="3"/>
      <c r="I81" s="7"/>
    </row>
    <row r="82" spans="2:9" x14ac:dyDescent="0.3">
      <c r="B82" s="2"/>
      <c r="C82" s="6" t="s">
        <v>20</v>
      </c>
      <c r="D82" s="1"/>
      <c r="E82" s="7">
        <v>58.463252711631966</v>
      </c>
      <c r="F82" s="7">
        <v>62.835981036347007</v>
      </c>
      <c r="G82" s="7">
        <v>58.182784272051009</v>
      </c>
      <c r="H82" s="3"/>
      <c r="I82" s="7"/>
    </row>
    <row r="83" spans="2:9" x14ac:dyDescent="0.3">
      <c r="B83" s="2"/>
      <c r="C83" s="6" t="s">
        <v>21</v>
      </c>
      <c r="D83" s="1"/>
      <c r="E83" s="27">
        <v>97.994800236951235</v>
      </c>
      <c r="F83" s="27">
        <v>88.771549051221626</v>
      </c>
      <c r="G83" s="27">
        <v>89.38946642926885</v>
      </c>
      <c r="H83" s="3"/>
      <c r="I83" s="7"/>
    </row>
    <row r="84" spans="2:9" x14ac:dyDescent="0.3">
      <c r="B84" s="2"/>
      <c r="C84" s="4" t="s">
        <v>28</v>
      </c>
      <c r="D84" s="1"/>
      <c r="E84" s="7">
        <f>E81+E82-E83</f>
        <v>107.23242272413772</v>
      </c>
      <c r="F84" s="7">
        <f t="shared" ref="F84:G84" si="13">F81+F82-F83</f>
        <v>117.97302680095075</v>
      </c>
      <c r="G84" s="7">
        <f t="shared" si="13"/>
        <v>92.710094593112387</v>
      </c>
      <c r="H84" s="3"/>
      <c r="I84" s="7"/>
    </row>
    <row r="85" spans="2:9" ht="16.2" thickBot="1" x14ac:dyDescent="0.35">
      <c r="B85" s="22"/>
      <c r="C85" s="23"/>
      <c r="D85" s="23"/>
      <c r="E85" s="23"/>
      <c r="F85" s="23"/>
      <c r="G85" s="23"/>
      <c r="H85" s="25"/>
    </row>
    <row r="86" spans="2:9" ht="16.2" thickBot="1" x14ac:dyDescent="0.35">
      <c r="E86" s="4"/>
      <c r="F86" s="4"/>
      <c r="G86" s="4"/>
    </row>
    <row r="87" spans="2:9" x14ac:dyDescent="0.3">
      <c r="B87" s="16"/>
      <c r="C87" s="17"/>
      <c r="D87" s="17"/>
      <c r="E87" s="17"/>
      <c r="F87" s="19"/>
      <c r="G87" s="4"/>
    </row>
    <row r="88" spans="2:9" x14ac:dyDescent="0.3">
      <c r="B88" s="20"/>
      <c r="C88" s="43" t="s">
        <v>62</v>
      </c>
      <c r="D88" s="43"/>
      <c r="E88" s="43"/>
      <c r="F88" s="33"/>
    </row>
    <row r="89" spans="2:9" x14ac:dyDescent="0.3">
      <c r="B89" s="20"/>
      <c r="E89" s="28"/>
      <c r="F89" s="21"/>
      <c r="G89" s="4"/>
    </row>
    <row r="90" spans="2:9" x14ac:dyDescent="0.3">
      <c r="B90" s="20"/>
      <c r="C90" s="44" t="s">
        <v>77</v>
      </c>
      <c r="D90" s="44"/>
      <c r="E90" s="44"/>
      <c r="F90" s="21"/>
      <c r="G90" s="4"/>
    </row>
    <row r="91" spans="2:9" x14ac:dyDescent="0.3">
      <c r="B91" s="20"/>
      <c r="E91" s="28"/>
      <c r="F91" s="21"/>
      <c r="G91" s="4"/>
    </row>
    <row r="92" spans="2:9" x14ac:dyDescent="0.3">
      <c r="B92" s="20"/>
      <c r="C92" s="4" t="s">
        <v>54</v>
      </c>
      <c r="E92" s="8">
        <v>270157.3144872</v>
      </c>
      <c r="F92" s="21"/>
      <c r="G92" s="4"/>
    </row>
    <row r="93" spans="2:9" x14ac:dyDescent="0.3">
      <c r="B93" s="20"/>
      <c r="C93" s="4" t="s">
        <v>51</v>
      </c>
      <c r="E93" s="8">
        <v>246364.3144872</v>
      </c>
      <c r="F93" s="21"/>
      <c r="G93" s="4"/>
    </row>
    <row r="94" spans="2:9" x14ac:dyDescent="0.3">
      <c r="B94" s="20"/>
      <c r="C94" s="4" t="s">
        <v>55</v>
      </c>
      <c r="E94" s="8">
        <v>46372</v>
      </c>
      <c r="F94" s="21"/>
      <c r="G94" s="4"/>
    </row>
    <row r="95" spans="2:9" x14ac:dyDescent="0.3">
      <c r="B95" s="20"/>
      <c r="E95" s="28"/>
      <c r="F95" s="21"/>
      <c r="G95" s="4"/>
    </row>
    <row r="96" spans="2:9" x14ac:dyDescent="0.3">
      <c r="B96" s="20"/>
      <c r="C96" s="44" t="s">
        <v>47</v>
      </c>
      <c r="D96" s="44"/>
      <c r="E96" s="44"/>
      <c r="F96" s="21"/>
      <c r="G96" s="4"/>
    </row>
    <row r="97" spans="2:7" x14ac:dyDescent="0.3">
      <c r="B97" s="20"/>
      <c r="E97" s="4"/>
      <c r="F97" s="21"/>
      <c r="G97" s="4"/>
    </row>
    <row r="98" spans="2:7" x14ac:dyDescent="0.3">
      <c r="B98" s="20"/>
      <c r="C98" s="4" t="s">
        <v>48</v>
      </c>
      <c r="E98" s="4"/>
      <c r="F98" s="21"/>
      <c r="G98" s="4"/>
    </row>
    <row r="99" spans="2:7" x14ac:dyDescent="0.3">
      <c r="B99" s="20"/>
      <c r="C99" s="6" t="s">
        <v>46</v>
      </c>
      <c r="E99" s="36">
        <v>0.81</v>
      </c>
      <c r="F99" s="21"/>
      <c r="G99" s="4"/>
    </row>
    <row r="100" spans="2:7" x14ac:dyDescent="0.3">
      <c r="B100" s="20"/>
      <c r="C100" s="6" t="s">
        <v>56</v>
      </c>
      <c r="E100" s="36">
        <v>0.81938867133955473</v>
      </c>
      <c r="F100" s="21"/>
      <c r="G100" s="4"/>
    </row>
    <row r="101" spans="2:7" x14ac:dyDescent="0.3">
      <c r="B101" s="20"/>
      <c r="C101" s="4" t="s">
        <v>49</v>
      </c>
      <c r="E101" s="4"/>
      <c r="F101" s="21"/>
      <c r="G101" s="4" t="s">
        <v>90</v>
      </c>
    </row>
    <row r="102" spans="2:7" x14ac:dyDescent="0.3">
      <c r="B102" s="20"/>
      <c r="C102" s="6" t="s">
        <v>57</v>
      </c>
      <c r="E102" s="12">
        <v>8.2400000000000001E-2</v>
      </c>
      <c r="F102" s="21"/>
      <c r="G102" s="4"/>
    </row>
    <row r="103" spans="2:7" x14ac:dyDescent="0.3">
      <c r="B103" s="20"/>
      <c r="C103" s="6" t="s">
        <v>58</v>
      </c>
      <c r="E103" s="11">
        <v>1.999242364401721E-2</v>
      </c>
      <c r="F103" s="21"/>
      <c r="G103" s="4"/>
    </row>
    <row r="104" spans="2:7" x14ac:dyDescent="0.3">
      <c r="B104" s="20"/>
      <c r="C104" s="4" t="s">
        <v>59</v>
      </c>
      <c r="E104" s="4"/>
      <c r="F104" s="21"/>
      <c r="G104" s="4"/>
    </row>
    <row r="105" spans="2:7" x14ac:dyDescent="0.3">
      <c r="B105" s="20"/>
      <c r="C105" s="6" t="s">
        <v>57</v>
      </c>
      <c r="E105" s="11">
        <v>4.7176157167332367E-2</v>
      </c>
      <c r="F105" s="21"/>
      <c r="G105" s="4"/>
    </row>
    <row r="106" spans="2:7" x14ac:dyDescent="0.3">
      <c r="B106" s="20"/>
      <c r="C106" s="6" t="s">
        <v>60</v>
      </c>
      <c r="E106" s="11">
        <v>1.1590952271055109E-2</v>
      </c>
      <c r="F106" s="21"/>
      <c r="G106" s="4"/>
    </row>
    <row r="107" spans="2:7" x14ac:dyDescent="0.3">
      <c r="B107" s="20"/>
      <c r="C107" s="6"/>
      <c r="E107" s="11"/>
      <c r="F107" s="21"/>
      <c r="G107" s="4"/>
    </row>
    <row r="108" spans="2:7" x14ac:dyDescent="0.3">
      <c r="B108" s="20"/>
      <c r="C108" s="44" t="s">
        <v>61</v>
      </c>
      <c r="D108" s="44"/>
      <c r="E108" s="44"/>
      <c r="F108" s="21"/>
      <c r="G108" s="4"/>
    </row>
    <row r="109" spans="2:7" x14ac:dyDescent="0.3">
      <c r="B109" s="20"/>
      <c r="C109" s="6"/>
      <c r="E109" s="11"/>
      <c r="F109" s="21"/>
      <c r="G109" s="4"/>
    </row>
    <row r="110" spans="2:7" x14ac:dyDescent="0.3">
      <c r="B110" s="20"/>
      <c r="C110" s="4" t="s">
        <v>46</v>
      </c>
      <c r="E110" s="11">
        <v>3.1990156874807753E-2</v>
      </c>
      <c r="F110" s="21"/>
      <c r="G110" s="4" t="s">
        <v>89</v>
      </c>
    </row>
    <row r="111" spans="2:7" x14ac:dyDescent="0.3">
      <c r="B111" s="20"/>
      <c r="C111" s="4" t="s">
        <v>63</v>
      </c>
      <c r="E111" s="11"/>
      <c r="F111" s="21"/>
      <c r="G111" s="4"/>
    </row>
    <row r="112" spans="2:7" x14ac:dyDescent="0.3">
      <c r="B112" s="20"/>
      <c r="C112" s="6" t="s">
        <v>66</v>
      </c>
      <c r="E112" s="12">
        <v>3.5000000000000003E-2</v>
      </c>
      <c r="F112" s="21"/>
      <c r="G112" s="4"/>
    </row>
    <row r="113" spans="2:9" x14ac:dyDescent="0.3">
      <c r="B113" s="20"/>
      <c r="C113" s="6" t="s">
        <v>64</v>
      </c>
      <c r="E113" s="11">
        <v>3.6999999999999998E-2</v>
      </c>
      <c r="F113" s="21"/>
      <c r="G113" s="4"/>
    </row>
    <row r="114" spans="2:9" x14ac:dyDescent="0.3">
      <c r="B114" s="20"/>
      <c r="C114" s="6" t="s">
        <v>65</v>
      </c>
      <c r="E114" s="11">
        <v>0.16600000000000001</v>
      </c>
      <c r="F114" s="21"/>
      <c r="G114" s="4"/>
    </row>
    <row r="115" spans="2:9" ht="16.2" thickBot="1" x14ac:dyDescent="0.35">
      <c r="B115" s="22"/>
      <c r="C115" s="23"/>
      <c r="D115" s="23"/>
      <c r="E115" s="34"/>
      <c r="F115" s="37"/>
      <c r="G115" s="4"/>
    </row>
    <row r="116" spans="2:9" ht="16.2" thickBot="1" x14ac:dyDescent="0.35">
      <c r="E116" s="13"/>
      <c r="F116" s="4"/>
      <c r="G116" s="4"/>
    </row>
    <row r="117" spans="2:9" x14ac:dyDescent="0.3">
      <c r="B117" s="16"/>
      <c r="C117" s="17"/>
      <c r="D117" s="17"/>
      <c r="E117" s="17"/>
      <c r="F117" s="17"/>
      <c r="G117" s="17"/>
      <c r="H117" s="19"/>
    </row>
    <row r="118" spans="2:9" x14ac:dyDescent="0.3">
      <c r="B118" s="20"/>
      <c r="C118" s="43" t="s">
        <v>35</v>
      </c>
      <c r="D118" s="43"/>
      <c r="E118" s="43"/>
      <c r="F118" s="43"/>
      <c r="G118" s="43"/>
      <c r="H118" s="32"/>
      <c r="I118" s="40"/>
    </row>
    <row r="119" spans="2:9" x14ac:dyDescent="0.3">
      <c r="B119" s="20"/>
      <c r="E119" s="4"/>
      <c r="F119" s="4"/>
      <c r="G119" s="4"/>
      <c r="H119" s="21"/>
    </row>
    <row r="120" spans="2:9" x14ac:dyDescent="0.3">
      <c r="B120" s="20"/>
      <c r="C120" s="44" t="s">
        <v>67</v>
      </c>
      <c r="D120" s="44"/>
      <c r="E120" s="44"/>
      <c r="F120" s="4"/>
      <c r="G120" s="4"/>
      <c r="H120" s="21"/>
    </row>
    <row r="121" spans="2:9" x14ac:dyDescent="0.3">
      <c r="B121" s="20"/>
      <c r="E121" s="4"/>
      <c r="F121" s="4"/>
      <c r="G121" s="4"/>
      <c r="H121" s="21"/>
    </row>
    <row r="122" spans="2:9" x14ac:dyDescent="0.3">
      <c r="B122" s="20"/>
      <c r="C122" s="4" t="s">
        <v>46</v>
      </c>
      <c r="E122" s="29" t="s">
        <v>74</v>
      </c>
      <c r="F122" s="4"/>
      <c r="G122" s="4"/>
      <c r="H122" s="21"/>
    </row>
    <row r="123" spans="2:9" x14ac:dyDescent="0.3">
      <c r="B123" s="20"/>
      <c r="C123" s="4" t="s">
        <v>63</v>
      </c>
      <c r="E123" s="4"/>
      <c r="F123" s="4"/>
      <c r="G123" s="4"/>
      <c r="H123" s="21"/>
    </row>
    <row r="124" spans="2:9" x14ac:dyDescent="0.3">
      <c r="B124" s="20"/>
      <c r="C124" s="6" t="s">
        <v>69</v>
      </c>
      <c r="E124" s="42" t="s">
        <v>50</v>
      </c>
      <c r="F124" s="4"/>
      <c r="G124" s="4"/>
      <c r="H124" s="21"/>
    </row>
    <row r="125" spans="2:9" x14ac:dyDescent="0.3">
      <c r="B125" s="20"/>
      <c r="C125" s="6" t="s">
        <v>70</v>
      </c>
      <c r="E125" s="29" t="s">
        <v>68</v>
      </c>
      <c r="F125" s="4"/>
      <c r="G125" s="4"/>
      <c r="H125" s="21"/>
    </row>
    <row r="126" spans="2:9" x14ac:dyDescent="0.3">
      <c r="B126" s="20"/>
      <c r="C126" s="6"/>
      <c r="E126" s="4"/>
      <c r="F126" s="4"/>
      <c r="G126" s="4"/>
      <c r="H126" s="21"/>
    </row>
    <row r="127" spans="2:9" x14ac:dyDescent="0.3">
      <c r="B127" s="20"/>
      <c r="E127" s="15">
        <v>2024</v>
      </c>
      <c r="F127" s="15">
        <v>2023</v>
      </c>
      <c r="G127" s="15">
        <v>2022</v>
      </c>
      <c r="H127" s="21"/>
      <c r="I127" s="39"/>
    </row>
    <row r="128" spans="2:9" x14ac:dyDescent="0.3">
      <c r="B128" s="20"/>
      <c r="E128" s="1"/>
      <c r="F128" s="1"/>
      <c r="G128" s="1"/>
      <c r="H128" s="21"/>
      <c r="I128" s="1"/>
    </row>
    <row r="129" spans="2:9" x14ac:dyDescent="0.3">
      <c r="B129" s="20"/>
      <c r="C129" s="4" t="s">
        <v>29</v>
      </c>
      <c r="E129" s="11">
        <f>E61</f>
        <v>0.3349333000872709</v>
      </c>
      <c r="F129" s="11">
        <f t="shared" ref="F129:G129" si="14">F61</f>
        <v>6.8202611660983112E-2</v>
      </c>
      <c r="G129" s="11">
        <f t="shared" si="14"/>
        <v>0.32461245213636286</v>
      </c>
      <c r="H129" s="21"/>
      <c r="I129" s="11"/>
    </row>
    <row r="130" spans="2:9" x14ac:dyDescent="0.3">
      <c r="B130" s="20"/>
      <c r="C130" s="4" t="s">
        <v>33</v>
      </c>
      <c r="E130" s="13">
        <v>16.909520062942565</v>
      </c>
      <c r="F130" s="13">
        <v>3.5776614310645725</v>
      </c>
      <c r="G130" s="13">
        <v>20.004158004158004</v>
      </c>
      <c r="H130" s="21"/>
      <c r="I130" s="13" t="s">
        <v>91</v>
      </c>
    </row>
    <row r="131" spans="2:9" x14ac:dyDescent="0.3">
      <c r="B131" s="20"/>
      <c r="C131" s="4" t="s">
        <v>34</v>
      </c>
      <c r="E131" s="13">
        <v>0.91543226501481278</v>
      </c>
      <c r="F131" s="13">
        <v>3.5306071249372803</v>
      </c>
      <c r="G131" s="13">
        <v>0.77389539152593612</v>
      </c>
      <c r="H131" s="21"/>
      <c r="I131" s="13" t="s">
        <v>92</v>
      </c>
    </row>
    <row r="132" spans="2:9" ht="16.2" thickBot="1" x14ac:dyDescent="0.35">
      <c r="B132" s="22"/>
      <c r="C132" s="23"/>
      <c r="D132" s="23"/>
      <c r="E132" s="23"/>
      <c r="F132" s="23"/>
      <c r="G132" s="23"/>
      <c r="H132" s="25"/>
      <c r="I132" s="4" t="s">
        <v>93</v>
      </c>
    </row>
    <row r="133" spans="2:9" x14ac:dyDescent="0.3">
      <c r="I133" s="4" t="s">
        <v>94</v>
      </c>
    </row>
    <row r="134" spans="2:9" x14ac:dyDescent="0.3">
      <c r="I134" s="4" t="s">
        <v>95</v>
      </c>
    </row>
  </sheetData>
  <mergeCells count="13">
    <mergeCell ref="C3:K3"/>
    <mergeCell ref="E5:G5"/>
    <mergeCell ref="I5:K5"/>
    <mergeCell ref="C120:E120"/>
    <mergeCell ref="C88:E88"/>
    <mergeCell ref="C17:G17"/>
    <mergeCell ref="E19:G19"/>
    <mergeCell ref="C75:G75"/>
    <mergeCell ref="C55:G55"/>
    <mergeCell ref="C118:G118"/>
    <mergeCell ref="C96:E96"/>
    <mergeCell ref="C90:E90"/>
    <mergeCell ref="C108:E108"/>
  </mergeCells>
  <pageMargins left="0.39370078740157499" right="0.39370078740157499" top="0.4" bottom="0.4" header="0.39370078740157499" footer="0.39370078740157499"/>
  <pageSetup paperSize="9" scale="60" fitToHeight="2" orientation="portrait" r:id="rId1"/>
  <headerFooter alignWithMargins="0"/>
  <rowBreaks count="1" manualBreakCount="1">
    <brk id="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 and Ratios</vt:lpstr>
    </vt:vector>
  </TitlesOfParts>
  <Manager/>
  <Company>B S P Consulting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Masonite International Corporation A</dc:title>
  <dc:subject/>
  <dc:creator>Barbara Pecherot</dc:creator>
  <cp:keywords/>
  <dc:description>This document MUST NOT be distributed.</dc:description>
  <cp:lastModifiedBy>Anagha Bande</cp:lastModifiedBy>
  <cp:lastPrinted>2025-11-28T18:06:31Z</cp:lastPrinted>
  <dcterms:created xsi:type="dcterms:W3CDTF">2007-03-16T11:15:26Z</dcterms:created>
  <dcterms:modified xsi:type="dcterms:W3CDTF">2025-12-01T20:04:51Z</dcterms:modified>
  <cp:category/>
</cp:coreProperties>
</file>