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etitt\ASU Dropbox\Barbara Petitt\Degree Programs\TGM 517\1 Fall 2025\Sessions\Session 13\"/>
    </mc:Choice>
  </mc:AlternateContent>
  <xr:revisionPtr revIDLastSave="0" documentId="13_ncr:1_{3C4C3226-EC1D-4090-B7A0-39B586170668}" xr6:coauthVersionLast="36" xr6:coauthVersionMax="36" xr10:uidLastSave="{00000000-0000-0000-0000-000000000000}"/>
  <bookViews>
    <workbookView xWindow="0" yWindow="0" windowWidth="19200" windowHeight="6930" tabRatio="817" xr2:uid="{9C67C6BC-35E8-4019-8A4D-9AF5E7D53FC9}"/>
  </bookViews>
  <sheets>
    <sheet name="Table of Content" sheetId="9" r:id="rId1"/>
    <sheet name="Exhibit 3" sheetId="10" r:id="rId2"/>
    <sheet name="Exhibit 4" sheetId="1" r:id="rId3"/>
    <sheet name="Appendix 1" sheetId="8" r:id="rId4"/>
    <sheet name="Appendix 2" sheetId="3" r:id="rId5"/>
    <sheet name="Appendix 3" sheetId="11" r:id="rId6"/>
    <sheet name="Equity" sheetId="13" r:id="rId7"/>
    <sheet name="Debt" sheetId="14" r:id="rId8"/>
    <sheet name="WACC" sheetId="6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8" l="1"/>
  <c r="F35" i="8"/>
  <c r="D35" i="8"/>
  <c r="E31" i="8"/>
  <c r="E36" i="8" s="1"/>
  <c r="F31" i="8"/>
  <c r="F36" i="8" s="1"/>
  <c r="D31" i="8"/>
  <c r="D36" i="8" s="1"/>
  <c r="E27" i="8"/>
  <c r="F27" i="8"/>
  <c r="D27" i="8"/>
  <c r="F13" i="8"/>
  <c r="F16" i="8" s="1"/>
  <c r="F18" i="8" s="1"/>
  <c r="E13" i="8"/>
  <c r="E16" i="8" s="1"/>
  <c r="E18" i="8" s="1"/>
  <c r="D13" i="8"/>
  <c r="D16" i="8" s="1"/>
  <c r="D18" i="8" s="1"/>
  <c r="D13" i="14" l="1"/>
  <c r="D24" i="13"/>
  <c r="D19" i="6"/>
  <c r="D24" i="6"/>
  <c r="D25" i="6"/>
  <c r="D23" i="6"/>
  <c r="D30" i="6"/>
  <c r="D9" i="14"/>
  <c r="D29" i="6" s="1"/>
  <c r="D9" i="6"/>
  <c r="D8" i="6" l="1"/>
  <c r="D26" i="6"/>
  <c r="F30" i="6" s="1"/>
  <c r="D31" i="6"/>
  <c r="D7" i="14" l="1"/>
  <c r="D25" i="13" l="1"/>
  <c r="D23" i="13"/>
  <c r="D26" i="13" s="1"/>
  <c r="D18" i="13"/>
  <c r="F9" i="6" l="1"/>
  <c r="D16" i="13"/>
  <c r="D15" i="13"/>
  <c r="D17" i="13" s="1"/>
  <c r="D19" i="13" s="1"/>
  <c r="D11" i="13"/>
  <c r="D7" i="13"/>
  <c r="D10" i="6" l="1"/>
  <c r="E9" i="6" l="1"/>
  <c r="E30" i="6"/>
  <c r="E29" i="6"/>
  <c r="E8" i="6"/>
  <c r="E58" i="8" l="1"/>
  <c r="F58" i="8"/>
  <c r="D58" i="8"/>
  <c r="E57" i="8"/>
  <c r="F57" i="8"/>
  <c r="F59" i="8" s="1"/>
  <c r="D57" i="8"/>
  <c r="E60" i="8"/>
  <c r="F60" i="8"/>
  <c r="D60" i="8"/>
  <c r="E55" i="8"/>
  <c r="F55" i="8"/>
  <c r="D55" i="8"/>
  <c r="E59" i="8" l="1"/>
  <c r="D20" i="6"/>
  <c r="D21" i="6" s="1"/>
  <c r="F29" i="6" s="1"/>
  <c r="D33" i="6" s="1"/>
  <c r="D36" i="6" s="1"/>
  <c r="D14" i="14"/>
  <c r="D59" i="8"/>
  <c r="E54" i="8"/>
  <c r="E56" i="8" s="1"/>
  <c r="E61" i="8" s="1"/>
  <c r="F54" i="8"/>
  <c r="F56" i="8" s="1"/>
  <c r="F61" i="8" s="1"/>
  <c r="D54" i="8"/>
  <c r="D56" i="8" s="1"/>
  <c r="D61" i="8" s="1"/>
  <c r="E52" i="8"/>
  <c r="D52" i="8"/>
  <c r="D15" i="14" l="1"/>
  <c r="F8" i="6" s="1"/>
  <c r="D12" i="6" s="1"/>
  <c r="E38" i="1"/>
  <c r="G19" i="10"/>
  <c r="G18" i="10"/>
  <c r="G17" i="10"/>
  <c r="G16" i="10"/>
  <c r="G15" i="10"/>
  <c r="G14" i="10"/>
  <c r="G13" i="10"/>
  <c r="G10" i="10"/>
  <c r="G9" i="10"/>
  <c r="G8" i="10"/>
  <c r="G7" i="10"/>
  <c r="G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6" i="10"/>
  <c r="G12" i="10"/>
  <c r="E46" i="8"/>
  <c r="F46" i="8"/>
  <c r="D46" i="8"/>
  <c r="G11" i="10" l="1"/>
  <c r="F22" i="1"/>
</calcChain>
</file>

<file path=xl/sharedStrings.xml><?xml version="1.0" encoding="utf-8"?>
<sst xmlns="http://schemas.openxmlformats.org/spreadsheetml/2006/main" count="227" uniqueCount="170">
  <si>
    <t>FR0012146801</t>
  </si>
  <si>
    <t>FR0012969038</t>
  </si>
  <si>
    <t>FR0013143997</t>
  </si>
  <si>
    <t>FR0013144003</t>
  </si>
  <si>
    <t>FR0013201639</t>
  </si>
  <si>
    <t>FR0013324340</t>
  </si>
  <si>
    <t>FR0013324357</t>
  </si>
  <si>
    <t>FR0013324373</t>
  </si>
  <si>
    <t>US801060AD60</t>
  </si>
  <si>
    <t>FR0013409844</t>
  </si>
  <si>
    <t>FR0013409851</t>
  </si>
  <si>
    <t>FR0013505112</t>
  </si>
  <si>
    <t>FR0013505104</t>
  </si>
  <si>
    <t>FR0014009KS6</t>
  </si>
  <si>
    <t>FR0014009KQ0</t>
  </si>
  <si>
    <t>Issuance Date</t>
  </si>
  <si>
    <t>Maturity</t>
  </si>
  <si>
    <t>Coupon Rate</t>
  </si>
  <si>
    <t>ISIN Code</t>
  </si>
  <si>
    <t>Weight</t>
  </si>
  <si>
    <t>Equity Risk Premium</t>
  </si>
  <si>
    <t>1 month</t>
  </si>
  <si>
    <t>3 month</t>
  </si>
  <si>
    <t>6 month</t>
  </si>
  <si>
    <t>9 month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</si>
  <si>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</si>
  <si>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</si>
  <si>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</si>
  <si>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</si>
  <si>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</si>
  <si>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</si>
  <si>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</si>
  <si>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</si>
  <si>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</si>
  <si>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 years</t>
  </si>
  <si>
    <t>15 years</t>
  </si>
  <si>
    <t>20 years</t>
  </si>
  <si>
    <t>25 years</t>
  </si>
  <si>
    <t>30 years</t>
  </si>
  <si>
    <t>AAA/Aaa</t>
  </si>
  <si>
    <t>A/A2</t>
  </si>
  <si>
    <t>BBB/Baa2</t>
  </si>
  <si>
    <t>BB/Ba2</t>
  </si>
  <si>
    <t>B/B2</t>
  </si>
  <si>
    <t>Debt</t>
  </si>
  <si>
    <t>Equity</t>
  </si>
  <si>
    <t>WACC</t>
  </si>
  <si>
    <t>Effective Tax Rate</t>
  </si>
  <si>
    <t>Sales</t>
  </si>
  <si>
    <t>Gross Profit</t>
  </si>
  <si>
    <t>Operating Income</t>
  </si>
  <si>
    <t>Interest Expense</t>
  </si>
  <si>
    <t>Interest Income</t>
  </si>
  <si>
    <t>Income Before Tax</t>
  </si>
  <si>
    <t>Income Tax</t>
  </si>
  <si>
    <t>Net Income</t>
  </si>
  <si>
    <t>Cash and Cash Equivalents</t>
  </si>
  <si>
    <t>Short-Term Debt and Current Portion of Long-Term Debt</t>
  </si>
  <si>
    <t>Long-Term Debt</t>
  </si>
  <si>
    <t>Shareholders' Equity</t>
  </si>
  <si>
    <t>Table of Content</t>
  </si>
  <si>
    <t>Maturity Date</t>
  </si>
  <si>
    <t>Yield to Maturity</t>
  </si>
  <si>
    <t>Euro Medium Term Note (EMTN) Program</t>
  </si>
  <si>
    <t>Type</t>
  </si>
  <si>
    <t>Income Statements (million EUR)</t>
  </si>
  <si>
    <t>Cash Flow Statements (million EUR)</t>
  </si>
  <si>
    <t>Cash Flow from Operating Activities</t>
  </si>
  <si>
    <t>Cash Flow from Financing Activities</t>
  </si>
  <si>
    <t>Impact of Exchange Rates on Cash and Cash Equivalents</t>
  </si>
  <si>
    <t>Net Change in Cash and Cash Equivalents</t>
  </si>
  <si>
    <t>Year</t>
  </si>
  <si>
    <t>Earnings per Share (EPS)</t>
  </si>
  <si>
    <t>Growth Rate in EPS</t>
  </si>
  <si>
    <t>Dividend Per Share (DPS)</t>
  </si>
  <si>
    <t>Growth Rate in DPS</t>
  </si>
  <si>
    <t>Outstanding Amount (million)</t>
  </si>
  <si>
    <t>U.S. Public Bond Issue Program</t>
  </si>
  <si>
    <t>Maximum Drawdown (million)</t>
  </si>
  <si>
    <t>Bank Borrowings</t>
  </si>
  <si>
    <t>Commercial Paper (CP) Programs</t>
  </si>
  <si>
    <t>Negotiable European CP Program</t>
  </si>
  <si>
    <t>U.S. CP Program</t>
  </si>
  <si>
    <t>AA/Aa2</t>
  </si>
  <si>
    <t>Credit Spreads</t>
  </si>
  <si>
    <t>France</t>
  </si>
  <si>
    <t>U.S.</t>
  </si>
  <si>
    <t>Federal</t>
  </si>
  <si>
    <t>State, Low</t>
  </si>
  <si>
    <t>State, High</t>
  </si>
  <si>
    <t>Volatility</t>
  </si>
  <si>
    <t>Beta</t>
  </si>
  <si>
    <t>Sanofi</t>
  </si>
  <si>
    <t>Novo Nordisk</t>
  </si>
  <si>
    <t>Johnson &amp; Johnson</t>
  </si>
  <si>
    <t>Merck</t>
  </si>
  <si>
    <t>Roche</t>
  </si>
  <si>
    <t>AstraZeneca</t>
  </si>
  <si>
    <t>Novartis</t>
  </si>
  <si>
    <t>Pfizer</t>
  </si>
  <si>
    <t>Amgen</t>
  </si>
  <si>
    <t>Eli Lilly</t>
  </si>
  <si>
    <t>Company</t>
  </si>
  <si>
    <t>Corporate Income Tax Rates</t>
  </si>
  <si>
    <t>Spot Exchange Rate</t>
  </si>
  <si>
    <t>USD/EUR</t>
  </si>
  <si>
    <t>Appendix 2: Selected Country and Market Data</t>
  </si>
  <si>
    <t>Return to TOC</t>
  </si>
  <si>
    <t>Growth Rate in Sales</t>
  </si>
  <si>
    <t>Return on Equity (ROE)</t>
  </si>
  <si>
    <t>Invested Capital</t>
  </si>
  <si>
    <t>Operating Profit Margin</t>
  </si>
  <si>
    <t>Capital Turnover</t>
  </si>
  <si>
    <t>Pre-Tax Return on Invested Capital (ROIC)</t>
  </si>
  <si>
    <t>Tax Effect</t>
  </si>
  <si>
    <t>Financial Structure Effect</t>
  </si>
  <si>
    <t>Financial Cost Effect</t>
  </si>
  <si>
    <t>Financial Leverage Multiplier</t>
  </si>
  <si>
    <t>Non-Controlling Interest</t>
  </si>
  <si>
    <t>Attributabe to Sanofi's Shareholders</t>
  </si>
  <si>
    <t>Managerial Balance Sheets (million EUR)</t>
  </si>
  <si>
    <t>Net Working Capital</t>
  </si>
  <si>
    <t>Net Fixed Assets</t>
  </si>
  <si>
    <t>Interest-Bearing Debt</t>
  </si>
  <si>
    <t>Other Liabilities</t>
  </si>
  <si>
    <t>Capital Employed</t>
  </si>
  <si>
    <t>Modified DuPont Model</t>
  </si>
  <si>
    <t>Appendix 1: Sanofi's Selected Financial Data and Ratios</t>
  </si>
  <si>
    <t>After-Tax Cost</t>
  </si>
  <si>
    <t>Total</t>
  </si>
  <si>
    <t>Value of Equity (million EUR)</t>
  </si>
  <si>
    <t>Stock Price (EUR)</t>
  </si>
  <si>
    <t>Shares Outstanding (million)</t>
  </si>
  <si>
    <t>Market Capitalization</t>
  </si>
  <si>
    <t>Dividend Yield</t>
  </si>
  <si>
    <t>Dividend per Share (EUR)</t>
  </si>
  <si>
    <t>Cost of Equity</t>
  </si>
  <si>
    <t>Average Growth Rate in Dividends</t>
  </si>
  <si>
    <t>Risk-Free Rate</t>
  </si>
  <si>
    <t>Value of Debt (million EUR)</t>
  </si>
  <si>
    <t>Pre-Tax Cost of Debt</t>
  </si>
  <si>
    <t>After-Tax Cost of Debt</t>
  </si>
  <si>
    <t>Yield to Maturity (YTM)</t>
  </si>
  <si>
    <t>Amount of Debt Outstanding</t>
  </si>
  <si>
    <t>Term Loans</t>
  </si>
  <si>
    <t>Value
(million EUR)</t>
  </si>
  <si>
    <t>Credit Spread</t>
  </si>
  <si>
    <t>Calculation of the WACC</t>
  </si>
  <si>
    <t>Sensitivity Analysis</t>
  </si>
  <si>
    <t>ETR</t>
  </si>
  <si>
    <t>A-T CoD</t>
  </si>
  <si>
    <t>P-T CoD</t>
  </si>
  <si>
    <t>RFR</t>
  </si>
  <si>
    <t>ERP</t>
  </si>
  <si>
    <t>CoE</t>
  </si>
  <si>
    <t>Syndicated Credit Facilities</t>
  </si>
  <si>
    <t>Questions 2 and 4: Sanofi's Value and Cost of Equity</t>
  </si>
  <si>
    <t>Questions 3 and 4: Sanofi's Value and Cost of Debt</t>
  </si>
  <si>
    <t>Question 6: Sanofi's Weighted Average Cost of Capital (WACC)</t>
  </si>
  <si>
    <t>Cost of Equity Using the Dividend Discount Model (DDM)</t>
  </si>
  <si>
    <t>Cost of Equity Using the Capital Asset Pricing Model (CAPM)</t>
  </si>
  <si>
    <t>Share of Profit/(Loss) from Investments</t>
  </si>
  <si>
    <t>French Treasury Securities</t>
  </si>
  <si>
    <t>Cost of Debt using the Spread to Treasury Method</t>
  </si>
  <si>
    <t>Cash Flow from Investing Activities</t>
  </si>
  <si>
    <t>Exhibit 3: Sanofi's Earnings per Share and Dividend per Share</t>
  </si>
  <si>
    <t>Exhibit 4: Sanofi's Debt</t>
  </si>
  <si>
    <t>Appendix 3: Sanofi's and Selected Competitors' Risk Measures</t>
  </si>
  <si>
    <t>Case Questions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</si>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</sst>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%"/>
    <numFmt numFmtId="165" formatCode="&quot;$&quot;#,##0"/>
    <numFmt numFmtId="166" formatCode="[$€-2]\ #,##0"/>
    <numFmt numFmtId="167" formatCode="0.000"/>
    <numFmt numFmtId="168" formatCode="[$€-40C]\ #,##0.00"/>
    <numFmt numFmtId="169" formatCode="[$$-409]#,##0"/>
    <numFmt numFmtId="170" formatCode="0.0"/>
    <numFmt numFmtId="171" formatCode="0.0%"/>
    <numFmt numFmtId="172" formatCode="#,##0.0"/>
    <numFmt numFmtId="173" formatCode="0.000000000000000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D0D0D"/>
      <name val="Times New Roman"/>
      <family val="1"/>
    </font>
    <font>
      <sz val="12"/>
      <color theme="1"/>
      <name val="Times New Roman"/>
      <family val="1"/>
    </font>
    <font>
      <sz val="12"/>
      <color rgb="FF0D0D0D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b/>
      <i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color theme="0"/>
      <name val="Times New Roman"/>
      <family val="1"/>
    </font>
    <font>
      <sz val="12"/>
      <color rgb="FF0070C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  <xf numFmtId="0" fontId="12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180">
    <xf numFmtId="0" fontId="0" fillId="0" borderId="0" xfId="0"/>
    <xf numFmtId="0" fontId="3" fillId="0" borderId="0" xfId="0" applyFont="1"/>
    <xf numFmtId="10" fontId="3" fillId="0" borderId="0" xfId="1" applyNumberFormat="1" applyFont="1" applyBorder="1"/>
    <xf numFmtId="10" fontId="3" fillId="0" borderId="0" xfId="0" applyNumberFormat="1" applyFont="1" applyBorder="1"/>
    <xf numFmtId="0" fontId="3" fillId="0" borderId="0" xfId="0" applyFont="1" applyBorder="1"/>
    <xf numFmtId="3" fontId="3" fillId="0" borderId="0" xfId="0" applyNumberFormat="1" applyFont="1" applyBorder="1"/>
    <xf numFmtId="0" fontId="6" fillId="0" borderId="0" xfId="0" applyFont="1"/>
    <xf numFmtId="9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left" vertical="top"/>
    </xf>
    <xf numFmtId="0" fontId="6" fillId="0" borderId="0" xfId="0" applyFont="1" applyBorder="1"/>
    <xf numFmtId="165" fontId="3" fillId="0" borderId="0" xfId="0" applyNumberFormat="1" applyFont="1" applyBorder="1"/>
    <xf numFmtId="0" fontId="6" fillId="0" borderId="1" xfId="0" applyFont="1" applyBorder="1"/>
    <xf numFmtId="3" fontId="3" fillId="0" borderId="0" xfId="0" applyNumberFormat="1" applyFont="1"/>
    <xf numFmtId="0" fontId="3" fillId="0" borderId="0" xfId="0" applyFont="1" applyBorder="1" applyAlignment="1">
      <alignment horizontal="center" vertical="top"/>
    </xf>
    <xf numFmtId="0" fontId="3" fillId="0" borderId="0" xfId="0" applyFont="1" applyFill="1" applyBorder="1"/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top"/>
    </xf>
    <xf numFmtId="165" fontId="4" fillId="0" borderId="0" xfId="0" applyNumberFormat="1" applyFont="1" applyFill="1" applyBorder="1" applyAlignment="1">
      <alignment horizontal="right" vertical="top" wrapText="1"/>
    </xf>
    <xf numFmtId="166" fontId="4" fillId="0" borderId="0" xfId="0" applyNumberFormat="1" applyFont="1" applyFill="1" applyBorder="1" applyAlignment="1">
      <alignment horizontal="right" vertical="top" wrapText="1" indent="5"/>
    </xf>
    <xf numFmtId="15" fontId="4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Border="1" applyAlignment="1">
      <alignment horizontal="right" vertical="top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 indent="2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6" fillId="0" borderId="5" xfId="0" applyFont="1" applyBorder="1"/>
    <xf numFmtId="0" fontId="6" fillId="0" borderId="6" xfId="0" applyFont="1" applyBorder="1"/>
    <xf numFmtId="0" fontId="3" fillId="0" borderId="7" xfId="0" applyFont="1" applyBorder="1"/>
    <xf numFmtId="0" fontId="3" fillId="0" borderId="8" xfId="0" applyFont="1" applyBorder="1"/>
    <xf numFmtId="3" fontId="3" fillId="0" borderId="8" xfId="0" applyNumberFormat="1" applyFont="1" applyBorder="1"/>
    <xf numFmtId="0" fontId="3" fillId="0" borderId="9" xfId="0" applyFont="1" applyBorder="1"/>
    <xf numFmtId="0" fontId="3" fillId="0" borderId="3" xfId="0" applyFont="1" applyBorder="1" applyAlignment="1">
      <alignment vertical="top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0" fontId="3" fillId="0" borderId="3" xfId="0" applyFont="1" applyFill="1" applyBorder="1" applyAlignment="1">
      <alignment horizontal="right" vertical="top"/>
    </xf>
    <xf numFmtId="0" fontId="3" fillId="0" borderId="3" xfId="0" applyFont="1" applyBorder="1" applyAlignment="1">
      <alignment horizontal="center" vertical="top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Fill="1" applyBorder="1"/>
    <xf numFmtId="0" fontId="3" fillId="0" borderId="6" xfId="0" applyFont="1" applyFill="1" applyBorder="1"/>
    <xf numFmtId="0" fontId="3" fillId="0" borderId="8" xfId="0" applyFont="1" applyBorder="1" applyAlignment="1">
      <alignment vertical="top"/>
    </xf>
    <xf numFmtId="0" fontId="3" fillId="0" borderId="8" xfId="0" applyFont="1" applyBorder="1" applyAlignment="1">
      <alignment horizontal="left" vertical="top"/>
    </xf>
    <xf numFmtId="0" fontId="3" fillId="0" borderId="8" xfId="0" applyFont="1" applyBorder="1" applyAlignment="1">
      <alignment horizontal="right" vertical="top"/>
    </xf>
    <xf numFmtId="0" fontId="3" fillId="0" borderId="8" xfId="0" applyFont="1" applyFill="1" applyBorder="1" applyAlignment="1">
      <alignment horizontal="right" vertical="top"/>
    </xf>
    <xf numFmtId="0" fontId="3" fillId="0" borderId="8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6" fillId="0" borderId="1" xfId="0" applyFont="1" applyBorder="1" applyAlignment="1">
      <alignment horizontal="right" wrapText="1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9" fontId="3" fillId="0" borderId="0" xfId="1" applyFont="1" applyBorder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0" xfId="0" applyFont="1" applyBorder="1" applyAlignment="1">
      <alignment vertical="top" wrapText="1"/>
    </xf>
    <xf numFmtId="0" fontId="8" fillId="0" borderId="0" xfId="0" applyFont="1" applyBorder="1" applyAlignment="1">
      <alignment vertical="top"/>
    </xf>
    <xf numFmtId="0" fontId="8" fillId="0" borderId="0" xfId="0" applyFont="1" applyBorder="1" applyAlignment="1">
      <alignment horizontal="left" vertical="top"/>
    </xf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horizontal="left" vertical="top"/>
    </xf>
    <xf numFmtId="0" fontId="7" fillId="2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indent="3"/>
    </xf>
    <xf numFmtId="0" fontId="7" fillId="0" borderId="1" xfId="0" applyFont="1" applyBorder="1" applyAlignment="1">
      <alignment horizontal="center"/>
    </xf>
    <xf numFmtId="9" fontId="3" fillId="0" borderId="0" xfId="1" applyNumberFormat="1" applyFont="1" applyBorder="1"/>
    <xf numFmtId="0" fontId="5" fillId="0" borderId="0" xfId="0" applyFont="1" applyBorder="1" applyAlignment="1">
      <alignment horizontal="left" vertical="top"/>
    </xf>
    <xf numFmtId="15" fontId="4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166" fontId="4" fillId="0" borderId="0" xfId="0" applyNumberFormat="1" applyFont="1" applyFill="1" applyBorder="1" applyAlignment="1">
      <alignment horizontal="right" vertical="top" wrapText="1" indent="4"/>
    </xf>
    <xf numFmtId="0" fontId="3" fillId="0" borderId="1" xfId="0" applyFont="1" applyBorder="1" applyAlignment="1">
      <alignment horizontal="left"/>
    </xf>
    <xf numFmtId="0" fontId="9" fillId="0" borderId="0" xfId="0" applyFont="1" applyBorder="1" applyAlignment="1"/>
    <xf numFmtId="0" fontId="5" fillId="0" borderId="0" xfId="0" applyFont="1" applyBorder="1"/>
    <xf numFmtId="0" fontId="6" fillId="3" borderId="0" xfId="0" applyFont="1" applyFill="1" applyBorder="1"/>
    <xf numFmtId="0" fontId="12" fillId="3" borderId="0" xfId="2" applyFont="1" applyFill="1" applyBorder="1" applyAlignment="1">
      <alignment horizontal="left" indent="1"/>
    </xf>
    <xf numFmtId="0" fontId="6" fillId="4" borderId="0" xfId="0" applyFont="1" applyFill="1" applyBorder="1"/>
    <xf numFmtId="0" fontId="12" fillId="4" borderId="0" xfId="2" applyFont="1" applyFill="1" applyBorder="1" applyAlignment="1">
      <alignment horizontal="left" indent="1"/>
    </xf>
    <xf numFmtId="0" fontId="8" fillId="0" borderId="0" xfId="0" applyFont="1" applyBorder="1" applyAlignment="1">
      <alignment horizontal="left" indent="2"/>
    </xf>
    <xf numFmtId="0" fontId="8" fillId="0" borderId="0" xfId="0" applyFont="1" applyBorder="1" applyAlignment="1">
      <alignment horizontal="left" indent="3"/>
    </xf>
    <xf numFmtId="3" fontId="3" fillId="0" borderId="1" xfId="0" applyNumberFormat="1" applyFont="1" applyBorder="1"/>
    <xf numFmtId="171" fontId="3" fillId="0" borderId="0" xfId="1" applyNumberFormat="1" applyFont="1" applyBorder="1"/>
    <xf numFmtId="172" fontId="3" fillId="0" borderId="0" xfId="0" applyNumberFormat="1" applyFont="1" applyBorder="1"/>
    <xf numFmtId="172" fontId="3" fillId="0" borderId="1" xfId="0" applyNumberFormat="1" applyFont="1" applyBorder="1"/>
    <xf numFmtId="0" fontId="3" fillId="0" borderId="1" xfId="0" applyFont="1" applyBorder="1"/>
    <xf numFmtId="10" fontId="3" fillId="0" borderId="1" xfId="0" applyNumberFormat="1" applyFont="1" applyBorder="1"/>
    <xf numFmtId="2" fontId="3" fillId="0" borderId="0" xfId="0" applyNumberFormat="1" applyFont="1" applyBorder="1"/>
    <xf numFmtId="170" fontId="3" fillId="0" borderId="0" xfId="0" applyNumberFormat="1" applyFont="1" applyBorder="1"/>
    <xf numFmtId="0" fontId="12" fillId="3" borderId="0" xfId="2" applyFont="1" applyFill="1" applyAlignment="1">
      <alignment horizontal="center"/>
    </xf>
    <xf numFmtId="10" fontId="13" fillId="0" borderId="0" xfId="1" applyNumberFormat="1" applyFont="1" applyBorder="1"/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/>
    </xf>
    <xf numFmtId="2" fontId="3" fillId="0" borderId="0" xfId="0" applyNumberFormat="1" applyFont="1" applyBorder="1" applyAlignment="1">
      <alignment horizontal="right"/>
    </xf>
    <xf numFmtId="10" fontId="3" fillId="0" borderId="0" xfId="0" applyNumberFormat="1" applyFont="1" applyBorder="1" applyAlignment="1">
      <alignment horizontal="left" indent="1"/>
    </xf>
    <xf numFmtId="10" fontId="3" fillId="0" borderId="0" xfId="0" applyNumberFormat="1" applyFont="1" applyBorder="1" applyAlignment="1">
      <alignment horizontal="right"/>
    </xf>
    <xf numFmtId="10" fontId="8" fillId="0" borderId="0" xfId="0" applyNumberFormat="1" applyFont="1" applyBorder="1"/>
    <xf numFmtId="10" fontId="3" fillId="0" borderId="12" xfId="0" applyNumberFormat="1" applyFont="1" applyBorder="1"/>
    <xf numFmtId="10" fontId="3" fillId="0" borderId="13" xfId="0" applyNumberFormat="1" applyFont="1" applyBorder="1"/>
    <xf numFmtId="10" fontId="3" fillId="0" borderId="14" xfId="0" applyNumberFormat="1" applyFont="1" applyBorder="1"/>
    <xf numFmtId="10" fontId="3" fillId="0" borderId="18" xfId="0" applyNumberFormat="1" applyFont="1" applyBorder="1"/>
    <xf numFmtId="10" fontId="3" fillId="0" borderId="19" xfId="0" applyNumberFormat="1" applyFont="1" applyBorder="1"/>
    <xf numFmtId="10" fontId="3" fillId="0" borderId="20" xfId="0" applyNumberFormat="1" applyFont="1" applyBorder="1"/>
    <xf numFmtId="10" fontId="3" fillId="0" borderId="21" xfId="0" applyNumberFormat="1" applyFont="1" applyBorder="1"/>
    <xf numFmtId="10" fontId="3" fillId="0" borderId="10" xfId="0" applyNumberFormat="1" applyFont="1" applyBorder="1"/>
    <xf numFmtId="10" fontId="3" fillId="0" borderId="22" xfId="0" applyNumberFormat="1" applyFont="1" applyBorder="1"/>
    <xf numFmtId="10" fontId="3" fillId="0" borderId="11" xfId="0" applyNumberFormat="1" applyFont="1" applyBorder="1"/>
    <xf numFmtId="173" fontId="14" fillId="0" borderId="11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2" fontId="3" fillId="0" borderId="17" xfId="0" applyNumberFormat="1" applyFont="1" applyBorder="1" applyAlignment="1">
      <alignment horizontal="center"/>
    </xf>
    <xf numFmtId="0" fontId="8" fillId="0" borderId="0" xfId="0" applyFont="1" applyBorder="1"/>
    <xf numFmtId="3" fontId="8" fillId="0" borderId="0" xfId="0" applyNumberFormat="1" applyFont="1" applyBorder="1"/>
    <xf numFmtId="0" fontId="8" fillId="0" borderId="0" xfId="0" applyFont="1" applyBorder="1" applyAlignment="1">
      <alignment horizontal="left" indent="1"/>
    </xf>
    <xf numFmtId="168" fontId="15" fillId="0" borderId="0" xfId="0" applyNumberFormat="1" applyFont="1" applyBorder="1"/>
    <xf numFmtId="10" fontId="15" fillId="0" borderId="0" xfId="1" applyNumberFormat="1" applyFont="1" applyBorder="1"/>
    <xf numFmtId="168" fontId="15" fillId="0" borderId="1" xfId="0" applyNumberFormat="1" applyFont="1" applyBorder="1"/>
    <xf numFmtId="10" fontId="15" fillId="0" borderId="1" xfId="1" applyNumberFormat="1" applyFont="1" applyBorder="1"/>
    <xf numFmtId="166" fontId="15" fillId="0" borderId="0" xfId="0" applyNumberFormat="1" applyFont="1" applyFill="1" applyBorder="1" applyAlignment="1">
      <alignment horizontal="right" vertical="top" wrapText="1" indent="4"/>
    </xf>
    <xf numFmtId="164" fontId="15" fillId="0" borderId="0" xfId="0" applyNumberFormat="1" applyFont="1" applyFill="1" applyBorder="1" applyAlignment="1">
      <alignment horizontal="center" vertical="top" wrapText="1"/>
    </xf>
    <xf numFmtId="166" fontId="15" fillId="0" borderId="1" xfId="0" applyNumberFormat="1" applyFont="1" applyFill="1" applyBorder="1" applyAlignment="1">
      <alignment horizontal="right" vertical="top" wrapText="1" indent="4"/>
    </xf>
    <xf numFmtId="165" fontId="15" fillId="0" borderId="0" xfId="0" applyNumberFormat="1" applyFont="1" applyFill="1" applyBorder="1" applyAlignment="1">
      <alignment horizontal="center" vertical="top" wrapText="1"/>
    </xf>
    <xf numFmtId="166" fontId="15" fillId="0" borderId="0" xfId="0" applyNumberFormat="1" applyFont="1" applyFill="1" applyBorder="1" applyAlignment="1">
      <alignment horizontal="right" vertical="top" wrapText="1" indent="5"/>
    </xf>
    <xf numFmtId="169" fontId="15" fillId="0" borderId="0" xfId="0" applyNumberFormat="1" applyFont="1" applyFill="1" applyBorder="1" applyAlignment="1">
      <alignment horizontal="right" vertical="top" wrapText="1" indent="5"/>
    </xf>
    <xf numFmtId="3" fontId="15" fillId="0" borderId="0" xfId="0" applyNumberFormat="1" applyFont="1" applyBorder="1"/>
    <xf numFmtId="3" fontId="15" fillId="0" borderId="1" xfId="0" applyNumberFormat="1" applyFont="1" applyBorder="1"/>
    <xf numFmtId="171" fontId="15" fillId="0" borderId="0" xfId="1" applyNumberFormat="1" applyFont="1" applyBorder="1"/>
    <xf numFmtId="9" fontId="15" fillId="0" borderId="0" xfId="1" applyNumberFormat="1" applyFont="1" applyBorder="1"/>
    <xf numFmtId="167" fontId="15" fillId="0" borderId="0" xfId="1" applyNumberFormat="1" applyFont="1" applyBorder="1"/>
    <xf numFmtId="164" fontId="15" fillId="0" borderId="0" xfId="0" applyNumberFormat="1" applyFont="1" applyBorder="1" applyAlignment="1">
      <alignment horizontal="center"/>
    </xf>
    <xf numFmtId="10" fontId="15" fillId="0" borderId="0" xfId="1" applyNumberFormat="1" applyFont="1" applyBorder="1" applyAlignment="1">
      <alignment horizontal="center"/>
    </xf>
    <xf numFmtId="9" fontId="15" fillId="0" borderId="0" xfId="0" applyNumberFormat="1" applyFont="1" applyBorder="1" applyAlignment="1">
      <alignment horizontal="center"/>
    </xf>
    <xf numFmtId="2" fontId="15" fillId="0" borderId="0" xfId="0" applyNumberFormat="1" applyFont="1" applyBorder="1" applyAlignment="1">
      <alignment horizontal="center"/>
    </xf>
    <xf numFmtId="9" fontId="15" fillId="0" borderId="1" xfId="0" applyNumberFormat="1" applyFont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3" fontId="8" fillId="5" borderId="0" xfId="0" applyNumberFormat="1" applyFont="1" applyFill="1" applyBorder="1"/>
    <xf numFmtId="0" fontId="8" fillId="5" borderId="0" xfId="0" applyFont="1" applyFill="1" applyBorder="1"/>
    <xf numFmtId="3" fontId="8" fillId="5" borderId="1" xfId="0" applyNumberFormat="1" applyFont="1" applyFill="1" applyBorder="1"/>
    <xf numFmtId="0" fontId="8" fillId="5" borderId="1" xfId="0" applyFont="1" applyFill="1" applyBorder="1"/>
    <xf numFmtId="10" fontId="8" fillId="5" borderId="0" xfId="1" applyNumberFormat="1" applyFont="1" applyFill="1" applyBorder="1"/>
    <xf numFmtId="10" fontId="8" fillId="5" borderId="1" xfId="0" applyNumberFormat="1" applyFont="1" applyFill="1" applyBorder="1"/>
    <xf numFmtId="10" fontId="8" fillId="5" borderId="0" xfId="0" applyNumberFormat="1" applyFont="1" applyFill="1" applyBorder="1"/>
    <xf numFmtId="2" fontId="8" fillId="5" borderId="0" xfId="0" applyNumberFormat="1" applyFont="1" applyFill="1" applyBorder="1"/>
    <xf numFmtId="3" fontId="3" fillId="5" borderId="0" xfId="0" applyNumberFormat="1" applyFont="1" applyFill="1" applyBorder="1"/>
    <xf numFmtId="3" fontId="3" fillId="5" borderId="1" xfId="0" applyNumberFormat="1" applyFont="1" applyFill="1" applyBorder="1"/>
    <xf numFmtId="9" fontId="3" fillId="5" borderId="0" xfId="1" applyFont="1" applyFill="1" applyBorder="1"/>
    <xf numFmtId="10" fontId="3" fillId="5" borderId="0" xfId="1" applyNumberFormat="1" applyFont="1" applyFill="1" applyBorder="1"/>
    <xf numFmtId="10" fontId="7" fillId="5" borderId="0" xfId="1" applyNumberFormat="1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5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0" xfId="0" applyFont="1" applyAlignment="1">
      <alignment wrapText="1"/>
    </xf>
  </cellXfs>
  <cellStyles count="6">
    <cellStyle name="Hyperlink" xfId="2" builtinId="8"/>
    <cellStyle name="Hyperlink 2" xfId="4" xr:uid="{9313B618-951A-428D-8C56-0355E8D3C78A}"/>
    <cellStyle name="Normal" xfId="0" builtinId="0"/>
    <cellStyle name="Normal 2" xfId="3" xr:uid="{3442D0F4-88D4-4494-981B-95D833F3A432}"/>
    <cellStyle name="Percent" xfId="1" builtinId="5"/>
    <cellStyle name="Percent 2" xfId="5" xr:uid="{8803EEBE-C87B-49E8-9D0A-3C50299B0A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1F02-294F-4D03-ACCE-FB93EBFDC37D}">
  <dimension ref="B1:D16"/>
  <sheetViews>
    <sheetView showGridLines="0" tabSelected="1" workbookViewId="0">
      <selection activeCell="C3" sqref="C3"/>
    </sheetView>
  </sheetViews>
  <sheetFormatPr defaultColWidth="12.5703125" defaultRowHeight="15.75" customHeight="1" x14ac:dyDescent="0.25"/>
  <cols>
    <col min="1" max="2" width="2.7109375" style="1" customWidth="1"/>
    <col min="3" max="3" width="60.7109375" style="1" customWidth="1"/>
    <col min="4" max="4" width="2.7109375" style="1" customWidth="1"/>
    <col min="5" max="16384" width="12.5703125" style="1"/>
  </cols>
  <sheetData>
    <row r="1" spans="2:4" ht="15.75" customHeight="1" thickBot="1" x14ac:dyDescent="0.3"/>
    <row r="2" spans="2:4" ht="15.75" customHeight="1" x14ac:dyDescent="0.25">
      <c r="B2" s="28"/>
      <c r="C2" s="29"/>
      <c r="D2" s="30"/>
    </row>
    <row r="3" spans="2:4" ht="15.75" customHeight="1" x14ac:dyDescent="0.25">
      <c r="B3" s="31"/>
      <c r="C3" s="90" t="s">
        <v>60</v>
      </c>
      <c r="D3" s="32"/>
    </row>
    <row r="4" spans="2:4" ht="15.75" customHeight="1" x14ac:dyDescent="0.25">
      <c r="B4" s="31"/>
      <c r="C4" s="4"/>
      <c r="D4" s="32"/>
    </row>
    <row r="5" spans="2:4" ht="15.75" customHeight="1" x14ac:dyDescent="0.25">
      <c r="B5" s="31"/>
      <c r="C5" s="91" t="s">
        <v>169</v>
      </c>
      <c r="D5" s="32"/>
    </row>
    <row r="6" spans="2:4" ht="15.75" customHeight="1" x14ac:dyDescent="0.25">
      <c r="B6" s="31"/>
      <c r="C6" s="92" t="s">
        <v>165</v>
      </c>
      <c r="D6" s="32"/>
    </row>
    <row r="7" spans="2:4" ht="15.75" customHeight="1" x14ac:dyDescent="0.25">
      <c r="B7" s="31"/>
      <c r="C7" s="92" t="s">
        <v>166</v>
      </c>
      <c r="D7" s="32"/>
    </row>
    <row r="8" spans="2:4" ht="15.75" customHeight="1" x14ac:dyDescent="0.25">
      <c r="B8" s="31"/>
      <c r="C8" s="92" t="s">
        <v>127</v>
      </c>
      <c r="D8" s="32"/>
    </row>
    <row r="9" spans="2:4" ht="15.75" customHeight="1" x14ac:dyDescent="0.25">
      <c r="B9" s="31"/>
      <c r="C9" s="92" t="s">
        <v>106</v>
      </c>
      <c r="D9" s="32"/>
    </row>
    <row r="10" spans="2:4" ht="15.75" customHeight="1" x14ac:dyDescent="0.25">
      <c r="B10" s="31"/>
      <c r="C10" s="92" t="s">
        <v>167</v>
      </c>
      <c r="D10" s="32"/>
    </row>
    <row r="11" spans="2:4" ht="15.75" customHeight="1" x14ac:dyDescent="0.25">
      <c r="B11" s="31"/>
      <c r="C11" s="4"/>
      <c r="D11" s="32"/>
    </row>
    <row r="12" spans="2:4" ht="15.75" customHeight="1" x14ac:dyDescent="0.25">
      <c r="B12" s="31"/>
      <c r="C12" s="93" t="s">
        <v>168</v>
      </c>
      <c r="D12" s="32"/>
    </row>
    <row r="13" spans="2:4" ht="15.75" customHeight="1" x14ac:dyDescent="0.25">
      <c r="B13" s="31"/>
      <c r="C13" s="94" t="s">
        <v>156</v>
      </c>
      <c r="D13" s="32"/>
    </row>
    <row r="14" spans="2:4" ht="15.75" customHeight="1" x14ac:dyDescent="0.25">
      <c r="B14" s="31"/>
      <c r="C14" s="94" t="s">
        <v>157</v>
      </c>
      <c r="D14" s="32"/>
    </row>
    <row r="15" spans="2:4" ht="15.75" customHeight="1" x14ac:dyDescent="0.25">
      <c r="B15" s="31"/>
      <c r="C15" s="94" t="s">
        <v>158</v>
      </c>
      <c r="D15" s="32"/>
    </row>
    <row r="16" spans="2:4" ht="15.75" customHeight="1" thickBot="1" x14ac:dyDescent="0.3">
      <c r="B16" s="35"/>
      <c r="C16" s="36"/>
      <c r="D16" s="38"/>
    </row>
  </sheetData>
  <hyperlinks>
    <hyperlink ref="C6" location="'Exhibit 3'!A1" display="Exhibit 3: Sanofi's Earnings per Share and Dividend per Share" xr:uid="{16A3A33C-688C-4AD3-B271-ABD921BCBF8D}"/>
    <hyperlink ref="C7" location="'Exhibit 4'!A1" display="Exhibit 4: Sanofi's Debt" xr:uid="{CF9C2608-33C8-4F5E-9F18-1367091A9033}"/>
    <hyperlink ref="C10" location="'Appendix 3'!A1" display="Appendix 3: Sanofi's and Selected Competitors' Risk Measures" xr:uid="{40678DC0-6A73-4A2D-9456-8877E2129949}"/>
    <hyperlink ref="C8" location="'Appendix 1'!A1" display="Appendix 1: Sanofi's Selected Financial Data" xr:uid="{7DB7C7FA-5DC1-486F-92CA-FFA69B7E4E5A}"/>
    <hyperlink ref="C9" location="'Appendix 2'!A1" display="Appendix 2: Selected Country and Market Data" xr:uid="{3403779A-A4F5-424B-8F11-E3177FD247CD}"/>
    <hyperlink ref="C13" location="Equity!A1" display="Question: Sanofi's Value and Cost of Equity" xr:uid="{F16B08B2-3007-4365-BC44-17FC34125A87}"/>
    <hyperlink ref="C14" location="Debt!A1" display="Question: Sanofi's Value and Cost of Debt" xr:uid="{F6E7176F-89E2-442F-9970-4E21A83B29E1}"/>
    <hyperlink ref="C15" location="WACC!A1" display="Question: Sanofi's Weighted Average Cost of Capital (WACC)" xr:uid="{3F2CEF10-B5FA-47F0-AFBF-E5DEC6266051}"/>
  </hyperlink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09FD-ADFB-423D-8756-B112D3D70400}">
  <sheetPr>
    <tabColor theme="8" tint="0.59999389629810485"/>
    <pageSetUpPr fitToPage="1"/>
  </sheetPr>
  <dimension ref="B1:J285"/>
  <sheetViews>
    <sheetView showGridLines="0" workbookViewId="0">
      <selection activeCell="C3" sqref="C3:G3"/>
    </sheetView>
  </sheetViews>
  <sheetFormatPr defaultColWidth="12.5703125" defaultRowHeight="15.75" customHeight="1" x14ac:dyDescent="0.25"/>
  <cols>
    <col min="1" max="2" width="2.7109375" style="1" customWidth="1"/>
    <col min="3" max="3" width="12.7109375" style="1" customWidth="1"/>
    <col min="4" max="7" width="16.7109375" style="1" customWidth="1"/>
    <col min="8" max="9" width="2.7109375" style="1" customWidth="1"/>
    <col min="10" max="10" width="15.7109375" style="1" customWidth="1"/>
    <col min="11" max="16384" width="12.5703125" style="1"/>
  </cols>
  <sheetData>
    <row r="1" spans="2:10" ht="15.75" customHeight="1" thickBot="1" x14ac:dyDescent="0.3"/>
    <row r="2" spans="2:10" ht="15.75" customHeight="1" x14ac:dyDescent="0.25">
      <c r="B2" s="28"/>
      <c r="C2" s="29"/>
      <c r="D2" s="29"/>
      <c r="E2" s="29"/>
      <c r="F2" s="29"/>
      <c r="G2" s="29"/>
      <c r="H2" s="30"/>
    </row>
    <row r="3" spans="2:10" ht="15.75" customHeight="1" x14ac:dyDescent="0.25">
      <c r="B3" s="31"/>
      <c r="C3" s="164" t="s">
        <v>165</v>
      </c>
      <c r="D3" s="164"/>
      <c r="E3" s="164"/>
      <c r="F3" s="164"/>
      <c r="G3" s="164"/>
      <c r="H3" s="32"/>
      <c r="J3" s="105" t="s">
        <v>107</v>
      </c>
    </row>
    <row r="4" spans="2:10" ht="15.75" customHeight="1" x14ac:dyDescent="0.25">
      <c r="B4" s="31"/>
      <c r="C4" s="4"/>
      <c r="D4" s="4"/>
      <c r="E4" s="4"/>
      <c r="F4" s="4"/>
      <c r="G4" s="4"/>
      <c r="H4" s="32"/>
    </row>
    <row r="5" spans="2:10" s="58" customFormat="1" ht="31.5" x14ac:dyDescent="0.25">
      <c r="B5" s="56"/>
      <c r="C5" s="53" t="s">
        <v>71</v>
      </c>
      <c r="D5" s="55" t="s">
        <v>72</v>
      </c>
      <c r="E5" s="55" t="s">
        <v>73</v>
      </c>
      <c r="F5" s="55" t="s">
        <v>74</v>
      </c>
      <c r="G5" s="55" t="s">
        <v>75</v>
      </c>
      <c r="H5" s="57"/>
    </row>
    <row r="6" spans="2:10" ht="15.75" customHeight="1" x14ac:dyDescent="0.25">
      <c r="B6" s="31"/>
      <c r="C6" s="63">
        <v>2023</v>
      </c>
      <c r="D6" s="130">
        <v>4.3099999999999996</v>
      </c>
      <c r="E6" s="131">
        <f>(D6-D7)/D7</f>
        <v>-0.35575485799701057</v>
      </c>
      <c r="F6" s="130">
        <v>3.76</v>
      </c>
      <c r="G6" s="2">
        <f>(F6-F7)/F7</f>
        <v>5.6179775280898799E-2</v>
      </c>
      <c r="H6" s="32"/>
    </row>
    <row r="7" spans="2:10" ht="15.75" customHeight="1" x14ac:dyDescent="0.25">
      <c r="B7" s="31"/>
      <c r="C7" s="63">
        <v>2022</v>
      </c>
      <c r="D7" s="130">
        <v>6.69</v>
      </c>
      <c r="E7" s="131">
        <f t="shared" ref="E7:G19" si="0">(D7-D8)/D8</f>
        <v>0.34607645875251525</v>
      </c>
      <c r="F7" s="130">
        <v>3.56</v>
      </c>
      <c r="G7" s="2">
        <f t="shared" si="0"/>
        <v>6.9069069069069067E-2</v>
      </c>
      <c r="H7" s="32"/>
    </row>
    <row r="8" spans="2:10" ht="15.75" customHeight="1" x14ac:dyDescent="0.25">
      <c r="B8" s="31"/>
      <c r="C8" s="63">
        <v>2021</v>
      </c>
      <c r="D8" s="130">
        <v>4.97</v>
      </c>
      <c r="E8" s="131">
        <f t="shared" si="0"/>
        <v>-0.49337410805300719</v>
      </c>
      <c r="F8" s="130">
        <v>3.33</v>
      </c>
      <c r="G8" s="2">
        <f t="shared" si="0"/>
        <v>4.0624999999999967E-2</v>
      </c>
      <c r="H8" s="32"/>
    </row>
    <row r="9" spans="2:10" ht="15.75" customHeight="1" x14ac:dyDescent="0.25">
      <c r="B9" s="31"/>
      <c r="C9" s="63">
        <v>2020</v>
      </c>
      <c r="D9" s="130">
        <v>9.81</v>
      </c>
      <c r="E9" s="131">
        <f t="shared" si="0"/>
        <v>3.3794642857142856</v>
      </c>
      <c r="F9" s="130">
        <v>3.2</v>
      </c>
      <c r="G9" s="2">
        <f t="shared" si="0"/>
        <v>1.5873015873015959E-2</v>
      </c>
      <c r="H9" s="32"/>
    </row>
    <row r="10" spans="2:10" ht="15.75" customHeight="1" x14ac:dyDescent="0.25">
      <c r="B10" s="31"/>
      <c r="C10" s="63">
        <v>2019</v>
      </c>
      <c r="D10" s="130">
        <v>2.2400000000000002</v>
      </c>
      <c r="E10" s="131">
        <f t="shared" si="0"/>
        <v>-0.35072463768115941</v>
      </c>
      <c r="F10" s="130">
        <v>3.15</v>
      </c>
      <c r="G10" s="2">
        <f t="shared" si="0"/>
        <v>2.605863192182413E-2</v>
      </c>
      <c r="H10" s="32"/>
    </row>
    <row r="11" spans="2:10" ht="15.75" customHeight="1" x14ac:dyDescent="0.25">
      <c r="B11" s="31"/>
      <c r="C11" s="63">
        <v>2018</v>
      </c>
      <c r="D11" s="130">
        <v>3.45</v>
      </c>
      <c r="E11" s="131">
        <f t="shared" si="0"/>
        <v>-0.48507462686567165</v>
      </c>
      <c r="F11" s="130">
        <v>3.07</v>
      </c>
      <c r="G11" s="2">
        <f t="shared" si="0"/>
        <v>1.3201320132013214E-2</v>
      </c>
      <c r="H11" s="32"/>
    </row>
    <row r="12" spans="2:10" ht="15.75" customHeight="1" x14ac:dyDescent="0.25">
      <c r="B12" s="31"/>
      <c r="C12" s="63">
        <v>2017</v>
      </c>
      <c r="D12" s="130">
        <v>6.7</v>
      </c>
      <c r="E12" s="131">
        <f t="shared" si="0"/>
        <v>0.83060109289617479</v>
      </c>
      <c r="F12" s="130">
        <v>3.03</v>
      </c>
      <c r="G12" s="2">
        <f t="shared" si="0"/>
        <v>2.3648648648648594E-2</v>
      </c>
      <c r="H12" s="32"/>
    </row>
    <row r="13" spans="2:10" ht="15.75" customHeight="1" x14ac:dyDescent="0.25">
      <c r="B13" s="31"/>
      <c r="C13" s="63">
        <v>2016</v>
      </c>
      <c r="D13" s="130">
        <v>3.66</v>
      </c>
      <c r="E13" s="131">
        <f t="shared" si="0"/>
        <v>0.11585365853658547</v>
      </c>
      <c r="F13" s="130">
        <v>2.96</v>
      </c>
      <c r="G13" s="2">
        <f t="shared" si="0"/>
        <v>1.0238907849829284E-2</v>
      </c>
      <c r="H13" s="32"/>
    </row>
    <row r="14" spans="2:10" ht="15.75" customHeight="1" x14ac:dyDescent="0.25">
      <c r="B14" s="31"/>
      <c r="C14" s="63">
        <v>2015</v>
      </c>
      <c r="D14" s="130">
        <v>3.28</v>
      </c>
      <c r="E14" s="131">
        <f t="shared" si="0"/>
        <v>-1.7964071856287442E-2</v>
      </c>
      <c r="F14" s="130">
        <v>2.93</v>
      </c>
      <c r="G14" s="2">
        <f t="shared" si="0"/>
        <v>2.8070175438596516E-2</v>
      </c>
      <c r="H14" s="32"/>
    </row>
    <row r="15" spans="2:10" ht="15.75" customHeight="1" x14ac:dyDescent="0.25">
      <c r="B15" s="31"/>
      <c r="C15" s="63">
        <v>2014</v>
      </c>
      <c r="D15" s="130">
        <v>3.34</v>
      </c>
      <c r="E15" s="131">
        <f t="shared" si="0"/>
        <v>0.18861209964412803</v>
      </c>
      <c r="F15" s="130">
        <v>2.85</v>
      </c>
      <c r="G15" s="2">
        <f t="shared" si="0"/>
        <v>1.7857142857142953E-2</v>
      </c>
      <c r="H15" s="32"/>
    </row>
    <row r="16" spans="2:10" ht="15.75" customHeight="1" x14ac:dyDescent="0.25">
      <c r="B16" s="31"/>
      <c r="C16" s="63">
        <v>2013</v>
      </c>
      <c r="D16" s="130">
        <v>2.81</v>
      </c>
      <c r="E16" s="131">
        <f t="shared" si="0"/>
        <v>-0.2425876010781671</v>
      </c>
      <c r="F16" s="130">
        <v>2.8</v>
      </c>
      <c r="G16" s="2">
        <f t="shared" si="0"/>
        <v>1.0830324909747223E-2</v>
      </c>
      <c r="H16" s="32"/>
    </row>
    <row r="17" spans="2:9" ht="15.75" customHeight="1" x14ac:dyDescent="0.25">
      <c r="B17" s="31"/>
      <c r="C17" s="63">
        <v>2012</v>
      </c>
      <c r="D17" s="130">
        <v>3.71</v>
      </c>
      <c r="E17" s="131">
        <f t="shared" si="0"/>
        <v>-0.13921113689095121</v>
      </c>
      <c r="F17" s="130">
        <v>2.77</v>
      </c>
      <c r="G17" s="2">
        <f t="shared" si="0"/>
        <v>4.5283018867924567E-2</v>
      </c>
      <c r="H17" s="32"/>
    </row>
    <row r="18" spans="2:9" ht="15.75" customHeight="1" x14ac:dyDescent="0.25">
      <c r="B18" s="31"/>
      <c r="C18" s="63">
        <v>2011</v>
      </c>
      <c r="D18" s="130">
        <v>4.3099999999999996</v>
      </c>
      <c r="E18" s="131">
        <f t="shared" si="0"/>
        <v>2.8639618138424631E-2</v>
      </c>
      <c r="F18" s="130">
        <v>2.65</v>
      </c>
      <c r="G18" s="2">
        <f t="shared" si="0"/>
        <v>5.9999999999999963E-2</v>
      </c>
      <c r="H18" s="32"/>
      <c r="I18" s="13"/>
    </row>
    <row r="19" spans="2:9" ht="15.75" customHeight="1" x14ac:dyDescent="0.25">
      <c r="B19" s="31"/>
      <c r="C19" s="63">
        <v>2010</v>
      </c>
      <c r="D19" s="130">
        <v>4.1900000000000004</v>
      </c>
      <c r="E19" s="131">
        <f t="shared" si="0"/>
        <v>3.9702233250620382E-2</v>
      </c>
      <c r="F19" s="130">
        <v>2.5</v>
      </c>
      <c r="G19" s="2">
        <f t="shared" si="0"/>
        <v>4.1666666666666706E-2</v>
      </c>
      <c r="H19" s="32"/>
    </row>
    <row r="20" spans="2:9" ht="15.75" customHeight="1" x14ac:dyDescent="0.25">
      <c r="B20" s="31"/>
      <c r="C20" s="64">
        <v>2009</v>
      </c>
      <c r="D20" s="132">
        <v>4.03</v>
      </c>
      <c r="E20" s="133">
        <v>0.112</v>
      </c>
      <c r="F20" s="132">
        <v>2.4</v>
      </c>
      <c r="G20" s="133">
        <v>9.0899999999999995E-2</v>
      </c>
      <c r="H20" s="32"/>
    </row>
    <row r="21" spans="2:9" ht="15.75" customHeight="1" thickBot="1" x14ac:dyDescent="0.3">
      <c r="B21" s="35"/>
      <c r="C21" s="36"/>
      <c r="D21" s="37"/>
      <c r="E21" s="37"/>
      <c r="F21" s="37"/>
      <c r="G21" s="37"/>
      <c r="H21" s="38"/>
    </row>
    <row r="22" spans="2:9" ht="15.75" customHeight="1" x14ac:dyDescent="0.25">
      <c r="D22" s="13"/>
      <c r="E22" s="13"/>
      <c r="F22" s="13"/>
      <c r="G22" s="13"/>
    </row>
    <row r="23" spans="2:9" ht="15.75" customHeight="1" x14ac:dyDescent="0.25">
      <c r="D23" s="13"/>
      <c r="E23" s="13"/>
      <c r="F23" s="13"/>
      <c r="G23" s="13"/>
    </row>
    <row r="24" spans="2:9" ht="15.75" customHeight="1" x14ac:dyDescent="0.25">
      <c r="D24" s="13"/>
      <c r="E24" s="13"/>
      <c r="F24" s="13"/>
      <c r="G24" s="13"/>
    </row>
    <row r="25" spans="2:9" ht="15.75" customHeight="1" x14ac:dyDescent="0.25">
      <c r="D25" s="13"/>
      <c r="E25" s="13"/>
      <c r="F25" s="13"/>
      <c r="G25" s="13"/>
    </row>
    <row r="26" spans="2:9" ht="15.75" customHeight="1" x14ac:dyDescent="0.25">
      <c r="D26" s="13"/>
      <c r="E26" s="13"/>
      <c r="F26" s="13"/>
      <c r="G26" s="13"/>
    </row>
    <row r="27" spans="2:9" ht="15.75" customHeight="1" x14ac:dyDescent="0.25">
      <c r="D27" s="13"/>
      <c r="E27" s="13"/>
      <c r="F27" s="13"/>
      <c r="G27" s="13"/>
    </row>
    <row r="28" spans="2:9" ht="15.75" customHeight="1" x14ac:dyDescent="0.25">
      <c r="D28" s="13"/>
      <c r="E28" s="13"/>
      <c r="F28" s="13"/>
      <c r="G28" s="13"/>
    </row>
    <row r="29" spans="2:9" ht="15.75" customHeight="1" x14ac:dyDescent="0.25">
      <c r="D29" s="13"/>
      <c r="E29" s="13"/>
      <c r="F29" s="13"/>
      <c r="G29" s="13"/>
    </row>
    <row r="30" spans="2:9" ht="15.75" customHeight="1" x14ac:dyDescent="0.25">
      <c r="D30" s="13"/>
      <c r="E30" s="13"/>
      <c r="F30" s="13"/>
      <c r="G30" s="13"/>
    </row>
    <row r="31" spans="2:9" ht="15.75" customHeight="1" x14ac:dyDescent="0.25">
      <c r="D31" s="13"/>
      <c r="E31" s="13"/>
      <c r="F31" s="13"/>
      <c r="G31" s="13"/>
    </row>
    <row r="32" spans="2:9" ht="15.75" customHeight="1" x14ac:dyDescent="0.25">
      <c r="D32" s="13"/>
      <c r="E32" s="13"/>
      <c r="F32" s="13"/>
      <c r="G32" s="13"/>
    </row>
    <row r="33" spans="4:7" ht="15.75" customHeight="1" x14ac:dyDescent="0.25">
      <c r="D33" s="13"/>
      <c r="E33" s="13"/>
      <c r="F33" s="13"/>
      <c r="G33" s="13"/>
    </row>
    <row r="34" spans="4:7" ht="15.75" customHeight="1" x14ac:dyDescent="0.25">
      <c r="D34" s="13"/>
      <c r="E34" s="13"/>
      <c r="F34" s="13"/>
      <c r="G34" s="13"/>
    </row>
    <row r="35" spans="4:7" ht="15.75" customHeight="1" x14ac:dyDescent="0.25">
      <c r="D35" s="13"/>
      <c r="E35" s="13"/>
      <c r="F35" s="13"/>
      <c r="G35" s="13"/>
    </row>
    <row r="36" spans="4:7" ht="15.75" customHeight="1" x14ac:dyDescent="0.25">
      <c r="D36" s="13"/>
      <c r="E36" s="13"/>
      <c r="F36" s="13"/>
      <c r="G36" s="13"/>
    </row>
    <row r="37" spans="4:7" ht="15.75" customHeight="1" x14ac:dyDescent="0.25">
      <c r="D37" s="13"/>
      <c r="E37" s="13"/>
      <c r="F37" s="13"/>
      <c r="G37" s="13"/>
    </row>
    <row r="38" spans="4:7" ht="15.75" customHeight="1" x14ac:dyDescent="0.25">
      <c r="D38" s="13"/>
      <c r="E38" s="13"/>
      <c r="F38" s="13"/>
      <c r="G38" s="13"/>
    </row>
    <row r="39" spans="4:7" ht="15.75" customHeight="1" x14ac:dyDescent="0.25">
      <c r="D39" s="13"/>
      <c r="E39" s="13"/>
      <c r="F39" s="13"/>
      <c r="G39" s="13"/>
    </row>
    <row r="40" spans="4:7" ht="15.75" customHeight="1" x14ac:dyDescent="0.25">
      <c r="D40" s="13"/>
      <c r="E40" s="13"/>
      <c r="F40" s="13"/>
      <c r="G40" s="13"/>
    </row>
    <row r="41" spans="4:7" ht="15.75" customHeight="1" x14ac:dyDescent="0.25">
      <c r="D41" s="13"/>
      <c r="E41" s="13"/>
      <c r="F41" s="13"/>
      <c r="G41" s="13"/>
    </row>
    <row r="42" spans="4:7" ht="15.75" customHeight="1" x14ac:dyDescent="0.25">
      <c r="D42" s="13"/>
      <c r="E42" s="13"/>
      <c r="F42" s="13"/>
      <c r="G42" s="13"/>
    </row>
    <row r="43" spans="4:7" ht="15.75" customHeight="1" x14ac:dyDescent="0.25">
      <c r="D43" s="13"/>
      <c r="E43" s="13"/>
      <c r="F43" s="13"/>
      <c r="G43" s="13"/>
    </row>
    <row r="44" spans="4:7" ht="15.75" customHeight="1" x14ac:dyDescent="0.25">
      <c r="D44" s="13"/>
      <c r="E44" s="13"/>
      <c r="F44" s="13"/>
      <c r="G44" s="13"/>
    </row>
    <row r="45" spans="4:7" ht="15.75" customHeight="1" x14ac:dyDescent="0.25">
      <c r="D45" s="13"/>
      <c r="E45" s="13"/>
      <c r="F45" s="13"/>
      <c r="G45" s="13"/>
    </row>
    <row r="46" spans="4:7" ht="15.75" customHeight="1" x14ac:dyDescent="0.25">
      <c r="D46" s="13"/>
      <c r="E46" s="13"/>
      <c r="F46" s="13"/>
      <c r="G46" s="13"/>
    </row>
    <row r="47" spans="4:7" ht="15.75" customHeight="1" x14ac:dyDescent="0.25">
      <c r="D47" s="13"/>
      <c r="E47" s="13"/>
      <c r="F47" s="13"/>
      <c r="G47" s="13"/>
    </row>
    <row r="48" spans="4:7" ht="15.75" customHeight="1" x14ac:dyDescent="0.25">
      <c r="D48" s="13"/>
      <c r="E48" s="13"/>
      <c r="F48" s="13"/>
      <c r="G48" s="13"/>
    </row>
    <row r="49" spans="4:7" ht="15.75" customHeight="1" x14ac:dyDescent="0.25">
      <c r="D49" s="13"/>
      <c r="E49" s="13"/>
      <c r="F49" s="13"/>
      <c r="G49" s="13"/>
    </row>
    <row r="50" spans="4:7" ht="15.75" customHeight="1" x14ac:dyDescent="0.25">
      <c r="D50" s="13"/>
      <c r="E50" s="13"/>
      <c r="F50" s="13"/>
      <c r="G50" s="13"/>
    </row>
    <row r="51" spans="4:7" ht="15.75" customHeight="1" x14ac:dyDescent="0.25">
      <c r="D51" s="13"/>
      <c r="E51" s="13"/>
      <c r="F51" s="13"/>
      <c r="G51" s="13"/>
    </row>
    <row r="52" spans="4:7" ht="15.75" customHeight="1" x14ac:dyDescent="0.25">
      <c r="D52" s="13"/>
      <c r="E52" s="13"/>
      <c r="F52" s="13"/>
      <c r="G52" s="13"/>
    </row>
    <row r="53" spans="4:7" ht="15.75" customHeight="1" x14ac:dyDescent="0.25">
      <c r="D53" s="13"/>
      <c r="E53" s="13"/>
      <c r="F53" s="13"/>
      <c r="G53" s="13"/>
    </row>
    <row r="54" spans="4:7" ht="15.75" customHeight="1" x14ac:dyDescent="0.25">
      <c r="D54" s="13"/>
      <c r="E54" s="13"/>
      <c r="F54" s="13"/>
      <c r="G54" s="13"/>
    </row>
    <row r="55" spans="4:7" ht="15.75" customHeight="1" x14ac:dyDescent="0.25">
      <c r="D55" s="13"/>
      <c r="E55" s="13"/>
      <c r="F55" s="13"/>
      <c r="G55" s="13"/>
    </row>
    <row r="56" spans="4:7" ht="15.75" customHeight="1" x14ac:dyDescent="0.25">
      <c r="D56" s="13"/>
      <c r="E56" s="13"/>
      <c r="F56" s="13"/>
      <c r="G56" s="13"/>
    </row>
    <row r="57" spans="4:7" ht="15.75" customHeight="1" x14ac:dyDescent="0.25">
      <c r="D57" s="13"/>
      <c r="E57" s="13"/>
      <c r="F57" s="13"/>
      <c r="G57" s="13"/>
    </row>
    <row r="58" spans="4:7" ht="15.75" customHeight="1" x14ac:dyDescent="0.25">
      <c r="D58" s="13"/>
      <c r="E58" s="13"/>
      <c r="F58" s="13"/>
      <c r="G58" s="13"/>
    </row>
    <row r="59" spans="4:7" ht="15.75" customHeight="1" x14ac:dyDescent="0.25">
      <c r="D59" s="13"/>
      <c r="E59" s="13"/>
      <c r="F59" s="13"/>
      <c r="G59" s="13"/>
    </row>
    <row r="60" spans="4:7" ht="15.75" customHeight="1" x14ac:dyDescent="0.25">
      <c r="D60" s="13"/>
      <c r="E60" s="13"/>
      <c r="F60" s="13"/>
      <c r="G60" s="13"/>
    </row>
    <row r="61" spans="4:7" ht="15.75" customHeight="1" x14ac:dyDescent="0.25">
      <c r="D61" s="13"/>
      <c r="E61" s="13"/>
      <c r="F61" s="13"/>
      <c r="G61" s="13"/>
    </row>
    <row r="62" spans="4:7" ht="15.75" customHeight="1" x14ac:dyDescent="0.25">
      <c r="D62" s="13"/>
      <c r="E62" s="13"/>
      <c r="F62" s="13"/>
      <c r="G62" s="13"/>
    </row>
    <row r="63" spans="4:7" ht="15.75" customHeight="1" x14ac:dyDescent="0.25">
      <c r="D63" s="13"/>
      <c r="E63" s="13"/>
      <c r="F63" s="13"/>
      <c r="G63" s="13"/>
    </row>
    <row r="64" spans="4:7" ht="15.75" customHeight="1" x14ac:dyDescent="0.25">
      <c r="D64" s="13"/>
      <c r="E64" s="13"/>
      <c r="F64" s="13"/>
      <c r="G64" s="13"/>
    </row>
    <row r="65" spans="4:7" ht="15.75" customHeight="1" x14ac:dyDescent="0.25">
      <c r="D65" s="13"/>
      <c r="E65" s="13"/>
      <c r="F65" s="13"/>
      <c r="G65" s="13"/>
    </row>
    <row r="66" spans="4:7" ht="15.75" customHeight="1" x14ac:dyDescent="0.25">
      <c r="D66" s="13"/>
      <c r="E66" s="13"/>
      <c r="F66" s="13"/>
      <c r="G66" s="13"/>
    </row>
    <row r="67" spans="4:7" ht="15.75" customHeight="1" x14ac:dyDescent="0.25">
      <c r="D67" s="13"/>
      <c r="E67" s="13"/>
      <c r="F67" s="13"/>
      <c r="G67" s="13"/>
    </row>
    <row r="68" spans="4:7" ht="15.75" customHeight="1" x14ac:dyDescent="0.25">
      <c r="D68" s="13"/>
      <c r="E68" s="13"/>
      <c r="F68" s="13"/>
      <c r="G68" s="13"/>
    </row>
    <row r="69" spans="4:7" ht="15.75" customHeight="1" x14ac:dyDescent="0.25">
      <c r="D69" s="13"/>
      <c r="E69" s="13"/>
      <c r="F69" s="13"/>
      <c r="G69" s="13"/>
    </row>
    <row r="70" spans="4:7" ht="15.75" customHeight="1" x14ac:dyDescent="0.25">
      <c r="D70" s="13"/>
      <c r="E70" s="13"/>
      <c r="F70" s="13"/>
      <c r="G70" s="13"/>
    </row>
    <row r="71" spans="4:7" ht="15.75" customHeight="1" x14ac:dyDescent="0.25">
      <c r="D71" s="13"/>
      <c r="E71" s="13"/>
      <c r="F71" s="13"/>
      <c r="G71" s="13"/>
    </row>
    <row r="72" spans="4:7" ht="15.75" customHeight="1" x14ac:dyDescent="0.25">
      <c r="D72" s="13"/>
      <c r="E72" s="13"/>
      <c r="F72" s="13"/>
      <c r="G72" s="13"/>
    </row>
    <row r="73" spans="4:7" ht="15.75" customHeight="1" x14ac:dyDescent="0.25">
      <c r="D73" s="13"/>
      <c r="E73" s="13"/>
      <c r="F73" s="13"/>
      <c r="G73" s="13"/>
    </row>
    <row r="74" spans="4:7" ht="15.75" customHeight="1" x14ac:dyDescent="0.25">
      <c r="D74" s="13"/>
      <c r="E74" s="13"/>
      <c r="F74" s="13"/>
      <c r="G74" s="13"/>
    </row>
    <row r="75" spans="4:7" ht="15.75" customHeight="1" x14ac:dyDescent="0.25">
      <c r="D75" s="13"/>
      <c r="E75" s="13"/>
      <c r="F75" s="13"/>
      <c r="G75" s="13"/>
    </row>
    <row r="76" spans="4:7" ht="15.75" customHeight="1" x14ac:dyDescent="0.25">
      <c r="D76" s="13"/>
      <c r="E76" s="13"/>
      <c r="F76" s="13"/>
      <c r="G76" s="13"/>
    </row>
    <row r="77" spans="4:7" ht="15.75" customHeight="1" x14ac:dyDescent="0.25">
      <c r="D77" s="13"/>
      <c r="E77" s="13"/>
      <c r="F77" s="13"/>
      <c r="G77" s="13"/>
    </row>
    <row r="78" spans="4:7" ht="15.75" customHeight="1" x14ac:dyDescent="0.25">
      <c r="D78" s="13"/>
      <c r="E78" s="13"/>
      <c r="F78" s="13"/>
      <c r="G78" s="13"/>
    </row>
    <row r="79" spans="4:7" ht="15.75" customHeight="1" x14ac:dyDescent="0.25">
      <c r="D79" s="13"/>
      <c r="E79" s="13"/>
      <c r="F79" s="13"/>
      <c r="G79" s="13"/>
    </row>
    <row r="80" spans="4:7" ht="15.75" customHeight="1" x14ac:dyDescent="0.25">
      <c r="D80" s="13"/>
      <c r="E80" s="13"/>
      <c r="F80" s="13"/>
      <c r="G80" s="13"/>
    </row>
    <row r="81" spans="4:7" ht="15.75" customHeight="1" x14ac:dyDescent="0.25">
      <c r="D81" s="13"/>
      <c r="E81" s="13"/>
      <c r="F81" s="13"/>
      <c r="G81" s="13"/>
    </row>
    <row r="82" spans="4:7" ht="15.75" customHeight="1" x14ac:dyDescent="0.25">
      <c r="D82" s="13"/>
      <c r="E82" s="13"/>
      <c r="F82" s="13"/>
      <c r="G82" s="13"/>
    </row>
    <row r="83" spans="4:7" ht="15.75" customHeight="1" x14ac:dyDescent="0.25">
      <c r="D83" s="13"/>
      <c r="E83" s="13"/>
      <c r="F83" s="13"/>
      <c r="G83" s="13"/>
    </row>
    <row r="84" spans="4:7" ht="15.75" customHeight="1" x14ac:dyDescent="0.25">
      <c r="D84" s="13"/>
      <c r="E84" s="13"/>
      <c r="F84" s="13"/>
      <c r="G84" s="13"/>
    </row>
    <row r="85" spans="4:7" ht="15.75" customHeight="1" x14ac:dyDescent="0.25">
      <c r="D85" s="13"/>
      <c r="E85" s="13"/>
      <c r="F85" s="13"/>
      <c r="G85" s="13"/>
    </row>
    <row r="86" spans="4:7" ht="15.75" customHeight="1" x14ac:dyDescent="0.25">
      <c r="D86" s="13"/>
      <c r="E86" s="13"/>
      <c r="F86" s="13"/>
      <c r="G86" s="13"/>
    </row>
    <row r="87" spans="4:7" ht="15.75" customHeight="1" x14ac:dyDescent="0.25">
      <c r="D87" s="13"/>
      <c r="E87" s="13"/>
      <c r="F87" s="13"/>
      <c r="G87" s="13"/>
    </row>
    <row r="88" spans="4:7" ht="15.75" customHeight="1" x14ac:dyDescent="0.25">
      <c r="D88" s="13"/>
      <c r="E88" s="13"/>
      <c r="F88" s="13"/>
      <c r="G88" s="13"/>
    </row>
    <row r="89" spans="4:7" ht="15.75" customHeight="1" x14ac:dyDescent="0.25">
      <c r="D89" s="13"/>
      <c r="E89" s="13"/>
      <c r="F89" s="13"/>
      <c r="G89" s="13"/>
    </row>
    <row r="90" spans="4:7" ht="15.75" customHeight="1" x14ac:dyDescent="0.25">
      <c r="D90" s="13"/>
      <c r="E90" s="13"/>
      <c r="F90" s="13"/>
      <c r="G90" s="13"/>
    </row>
    <row r="91" spans="4:7" ht="15.75" customHeight="1" x14ac:dyDescent="0.25">
      <c r="D91" s="13"/>
      <c r="E91" s="13"/>
      <c r="F91" s="13"/>
      <c r="G91" s="13"/>
    </row>
    <row r="92" spans="4:7" ht="15.75" customHeight="1" x14ac:dyDescent="0.25">
      <c r="D92" s="13"/>
      <c r="E92" s="13"/>
      <c r="F92" s="13"/>
      <c r="G92" s="13"/>
    </row>
    <row r="93" spans="4:7" ht="15.75" customHeight="1" x14ac:dyDescent="0.25">
      <c r="D93" s="13"/>
      <c r="E93" s="13"/>
      <c r="F93" s="13"/>
      <c r="G93" s="13"/>
    </row>
    <row r="94" spans="4:7" ht="15.75" customHeight="1" x14ac:dyDescent="0.25">
      <c r="D94" s="13"/>
      <c r="E94" s="13"/>
      <c r="F94" s="13"/>
      <c r="G94" s="13"/>
    </row>
    <row r="95" spans="4:7" ht="15.75" customHeight="1" x14ac:dyDescent="0.25">
      <c r="D95" s="13"/>
      <c r="E95" s="13"/>
      <c r="F95" s="13"/>
      <c r="G95" s="13"/>
    </row>
    <row r="96" spans="4:7" ht="15.75" customHeight="1" x14ac:dyDescent="0.25">
      <c r="D96" s="13"/>
      <c r="E96" s="13"/>
      <c r="F96" s="13"/>
      <c r="G96" s="13"/>
    </row>
    <row r="97" spans="4:7" ht="15.75" customHeight="1" x14ac:dyDescent="0.25">
      <c r="D97" s="13"/>
      <c r="E97" s="13"/>
      <c r="F97" s="13"/>
      <c r="G97" s="13"/>
    </row>
    <row r="98" spans="4:7" ht="15.75" customHeight="1" x14ac:dyDescent="0.25">
      <c r="D98" s="13"/>
      <c r="E98" s="13"/>
      <c r="F98" s="13"/>
      <c r="G98" s="13"/>
    </row>
    <row r="99" spans="4:7" ht="15.75" customHeight="1" x14ac:dyDescent="0.25">
      <c r="D99" s="13"/>
      <c r="E99" s="13"/>
      <c r="F99" s="13"/>
      <c r="G99" s="13"/>
    </row>
    <row r="100" spans="4:7" ht="15.75" customHeight="1" x14ac:dyDescent="0.25">
      <c r="D100" s="13"/>
      <c r="E100" s="13"/>
      <c r="F100" s="13"/>
      <c r="G100" s="13"/>
    </row>
    <row r="101" spans="4:7" ht="15.75" customHeight="1" x14ac:dyDescent="0.25">
      <c r="D101" s="13"/>
      <c r="E101" s="13"/>
      <c r="F101" s="13"/>
      <c r="G101" s="13"/>
    </row>
    <row r="102" spans="4:7" ht="15.75" customHeight="1" x14ac:dyDescent="0.25">
      <c r="D102" s="13"/>
      <c r="E102" s="13"/>
      <c r="F102" s="13"/>
      <c r="G102" s="13"/>
    </row>
    <row r="103" spans="4:7" ht="15.75" customHeight="1" x14ac:dyDescent="0.25">
      <c r="D103" s="13"/>
      <c r="E103" s="13"/>
      <c r="F103" s="13"/>
      <c r="G103" s="13"/>
    </row>
    <row r="104" spans="4:7" ht="15.75" customHeight="1" x14ac:dyDescent="0.25">
      <c r="D104" s="13"/>
      <c r="E104" s="13"/>
      <c r="F104" s="13"/>
      <c r="G104" s="13"/>
    </row>
    <row r="105" spans="4:7" ht="15.75" customHeight="1" x14ac:dyDescent="0.25">
      <c r="D105" s="13"/>
      <c r="E105" s="13"/>
      <c r="F105" s="13"/>
      <c r="G105" s="13"/>
    </row>
    <row r="106" spans="4:7" ht="15.75" customHeight="1" x14ac:dyDescent="0.25">
      <c r="D106" s="13"/>
      <c r="E106" s="13"/>
      <c r="F106" s="13"/>
      <c r="G106" s="13"/>
    </row>
    <row r="107" spans="4:7" ht="15.75" customHeight="1" x14ac:dyDescent="0.25">
      <c r="D107" s="13"/>
      <c r="E107" s="13"/>
      <c r="F107" s="13"/>
      <c r="G107" s="13"/>
    </row>
    <row r="108" spans="4:7" ht="15.75" customHeight="1" x14ac:dyDescent="0.25">
      <c r="D108" s="13"/>
      <c r="E108" s="13"/>
      <c r="F108" s="13"/>
      <c r="G108" s="13"/>
    </row>
    <row r="109" spans="4:7" ht="15.75" customHeight="1" x14ac:dyDescent="0.25">
      <c r="D109" s="13"/>
      <c r="E109" s="13"/>
      <c r="F109" s="13"/>
      <c r="G109" s="13"/>
    </row>
    <row r="110" spans="4:7" ht="15.75" customHeight="1" x14ac:dyDescent="0.25">
      <c r="D110" s="13"/>
      <c r="E110" s="13"/>
      <c r="F110" s="13"/>
      <c r="G110" s="13"/>
    </row>
    <row r="111" spans="4:7" ht="15.75" customHeight="1" x14ac:dyDescent="0.25">
      <c r="D111" s="13"/>
      <c r="E111" s="13"/>
      <c r="F111" s="13"/>
      <c r="G111" s="13"/>
    </row>
    <row r="112" spans="4:7" ht="15.75" customHeight="1" x14ac:dyDescent="0.25">
      <c r="D112" s="13"/>
      <c r="E112" s="13"/>
      <c r="F112" s="13"/>
      <c r="G112" s="13"/>
    </row>
    <row r="113" spans="4:7" ht="15.75" customHeight="1" x14ac:dyDescent="0.25">
      <c r="D113" s="13"/>
      <c r="E113" s="13"/>
      <c r="F113" s="13"/>
      <c r="G113" s="13"/>
    </row>
    <row r="114" spans="4:7" ht="15.75" customHeight="1" x14ac:dyDescent="0.25">
      <c r="D114" s="13"/>
      <c r="E114" s="13"/>
      <c r="F114" s="13"/>
      <c r="G114" s="13"/>
    </row>
    <row r="115" spans="4:7" ht="15.75" customHeight="1" x14ac:dyDescent="0.25">
      <c r="D115" s="13"/>
      <c r="E115" s="13"/>
      <c r="F115" s="13"/>
      <c r="G115" s="13"/>
    </row>
    <row r="116" spans="4:7" ht="15.75" customHeight="1" x14ac:dyDescent="0.25">
      <c r="D116" s="13"/>
      <c r="E116" s="13"/>
      <c r="F116" s="13"/>
      <c r="G116" s="13"/>
    </row>
    <row r="117" spans="4:7" ht="15.75" customHeight="1" x14ac:dyDescent="0.25">
      <c r="D117" s="13"/>
      <c r="E117" s="13"/>
      <c r="F117" s="13"/>
      <c r="G117" s="13"/>
    </row>
    <row r="118" spans="4:7" ht="15.75" customHeight="1" x14ac:dyDescent="0.25">
      <c r="D118" s="13"/>
      <c r="E118" s="13"/>
      <c r="F118" s="13"/>
      <c r="G118" s="13"/>
    </row>
    <row r="119" spans="4:7" ht="15.75" customHeight="1" x14ac:dyDescent="0.25">
      <c r="D119" s="13"/>
      <c r="E119" s="13"/>
      <c r="F119" s="13"/>
      <c r="G119" s="13"/>
    </row>
    <row r="120" spans="4:7" ht="15.75" customHeight="1" x14ac:dyDescent="0.25">
      <c r="D120" s="13"/>
      <c r="E120" s="13"/>
      <c r="F120" s="13"/>
      <c r="G120" s="13"/>
    </row>
    <row r="121" spans="4:7" ht="15.75" customHeight="1" x14ac:dyDescent="0.25">
      <c r="D121" s="13"/>
      <c r="E121" s="13"/>
      <c r="F121" s="13"/>
      <c r="G121" s="13"/>
    </row>
    <row r="122" spans="4:7" ht="15.75" customHeight="1" x14ac:dyDescent="0.25">
      <c r="D122" s="13"/>
      <c r="E122" s="13"/>
      <c r="F122" s="13"/>
      <c r="G122" s="13"/>
    </row>
    <row r="123" spans="4:7" ht="15.75" customHeight="1" x14ac:dyDescent="0.25">
      <c r="D123" s="13"/>
      <c r="E123" s="13"/>
      <c r="F123" s="13"/>
      <c r="G123" s="13"/>
    </row>
    <row r="124" spans="4:7" ht="15.75" customHeight="1" x14ac:dyDescent="0.25">
      <c r="D124" s="13"/>
      <c r="E124" s="13"/>
      <c r="F124" s="13"/>
      <c r="G124" s="13"/>
    </row>
    <row r="125" spans="4:7" ht="15.75" customHeight="1" x14ac:dyDescent="0.25">
      <c r="D125" s="13"/>
      <c r="E125" s="13"/>
      <c r="F125" s="13"/>
      <c r="G125" s="13"/>
    </row>
    <row r="126" spans="4:7" ht="15.75" customHeight="1" x14ac:dyDescent="0.25">
      <c r="D126" s="13"/>
      <c r="E126" s="13"/>
      <c r="F126" s="13"/>
      <c r="G126" s="13"/>
    </row>
    <row r="127" spans="4:7" ht="15.75" customHeight="1" x14ac:dyDescent="0.25">
      <c r="D127" s="13"/>
      <c r="E127" s="13"/>
      <c r="F127" s="13"/>
      <c r="G127" s="13"/>
    </row>
    <row r="128" spans="4:7" ht="15.75" customHeight="1" x14ac:dyDescent="0.25">
      <c r="D128" s="13"/>
      <c r="E128" s="13"/>
      <c r="F128" s="13"/>
      <c r="G128" s="13"/>
    </row>
    <row r="129" spans="4:7" ht="15.75" customHeight="1" x14ac:dyDescent="0.25">
      <c r="D129" s="13"/>
      <c r="E129" s="13"/>
      <c r="F129" s="13"/>
      <c r="G129" s="13"/>
    </row>
    <row r="130" spans="4:7" ht="15.75" customHeight="1" x14ac:dyDescent="0.25">
      <c r="D130" s="13"/>
      <c r="E130" s="13"/>
      <c r="F130" s="13"/>
      <c r="G130" s="13"/>
    </row>
    <row r="131" spans="4:7" ht="15.75" customHeight="1" x14ac:dyDescent="0.25">
      <c r="D131" s="13"/>
      <c r="E131" s="13"/>
      <c r="F131" s="13"/>
      <c r="G131" s="13"/>
    </row>
    <row r="132" spans="4:7" ht="15.75" customHeight="1" x14ac:dyDescent="0.25">
      <c r="D132" s="13"/>
      <c r="E132" s="13"/>
      <c r="F132" s="13"/>
      <c r="G132" s="13"/>
    </row>
    <row r="133" spans="4:7" ht="15.75" customHeight="1" x14ac:dyDescent="0.25">
      <c r="D133" s="13"/>
      <c r="E133" s="13"/>
      <c r="F133" s="13"/>
      <c r="G133" s="13"/>
    </row>
    <row r="134" spans="4:7" ht="15.75" customHeight="1" x14ac:dyDescent="0.25">
      <c r="D134" s="13"/>
      <c r="E134" s="13"/>
      <c r="F134" s="13"/>
      <c r="G134" s="13"/>
    </row>
    <row r="135" spans="4:7" ht="15.75" customHeight="1" x14ac:dyDescent="0.25">
      <c r="D135" s="13"/>
      <c r="E135" s="13"/>
      <c r="F135" s="13"/>
      <c r="G135" s="13"/>
    </row>
    <row r="136" spans="4:7" ht="15.75" customHeight="1" x14ac:dyDescent="0.25">
      <c r="D136" s="13"/>
      <c r="E136" s="13"/>
      <c r="F136" s="13"/>
      <c r="G136" s="13"/>
    </row>
    <row r="137" spans="4:7" ht="15.75" customHeight="1" x14ac:dyDescent="0.25">
      <c r="D137" s="13"/>
      <c r="E137" s="13"/>
      <c r="F137" s="13"/>
      <c r="G137" s="13"/>
    </row>
    <row r="138" spans="4:7" ht="15.75" customHeight="1" x14ac:dyDescent="0.25">
      <c r="D138" s="13"/>
      <c r="E138" s="13"/>
      <c r="F138" s="13"/>
      <c r="G138" s="13"/>
    </row>
    <row r="139" spans="4:7" ht="15.75" customHeight="1" x14ac:dyDescent="0.25">
      <c r="D139" s="13"/>
      <c r="E139" s="13"/>
      <c r="F139" s="13"/>
      <c r="G139" s="13"/>
    </row>
    <row r="140" spans="4:7" ht="15.75" customHeight="1" x14ac:dyDescent="0.25">
      <c r="D140" s="13"/>
      <c r="E140" s="13"/>
      <c r="F140" s="13"/>
      <c r="G140" s="13"/>
    </row>
    <row r="141" spans="4:7" ht="15.75" customHeight="1" x14ac:dyDescent="0.25">
      <c r="D141" s="13"/>
      <c r="E141" s="13"/>
      <c r="F141" s="13"/>
      <c r="G141" s="13"/>
    </row>
    <row r="142" spans="4:7" ht="15.75" customHeight="1" x14ac:dyDescent="0.25">
      <c r="D142" s="13"/>
      <c r="E142" s="13"/>
      <c r="F142" s="13"/>
      <c r="G142" s="13"/>
    </row>
    <row r="143" spans="4:7" ht="15.75" customHeight="1" x14ac:dyDescent="0.25">
      <c r="D143" s="13"/>
      <c r="E143" s="13"/>
      <c r="F143" s="13"/>
      <c r="G143" s="13"/>
    </row>
    <row r="144" spans="4:7" ht="15.75" customHeight="1" x14ac:dyDescent="0.25">
      <c r="D144" s="13"/>
      <c r="E144" s="13"/>
      <c r="F144" s="13"/>
      <c r="G144" s="13"/>
    </row>
    <row r="145" spans="4:7" ht="15.75" customHeight="1" x14ac:dyDescent="0.25">
      <c r="D145" s="13"/>
      <c r="E145" s="13"/>
      <c r="F145" s="13"/>
      <c r="G145" s="13"/>
    </row>
    <row r="146" spans="4:7" ht="15.75" customHeight="1" x14ac:dyDescent="0.25">
      <c r="D146" s="13"/>
      <c r="E146" s="13"/>
      <c r="F146" s="13"/>
      <c r="G146" s="13"/>
    </row>
    <row r="147" spans="4:7" ht="15.75" customHeight="1" x14ac:dyDescent="0.25">
      <c r="D147" s="13"/>
      <c r="E147" s="13"/>
      <c r="F147" s="13"/>
      <c r="G147" s="13"/>
    </row>
    <row r="148" spans="4:7" ht="15.75" customHeight="1" x14ac:dyDescent="0.25">
      <c r="D148" s="13"/>
      <c r="E148" s="13"/>
      <c r="F148" s="13"/>
      <c r="G148" s="13"/>
    </row>
    <row r="149" spans="4:7" ht="15.75" customHeight="1" x14ac:dyDescent="0.25">
      <c r="D149" s="13"/>
      <c r="E149" s="13"/>
      <c r="F149" s="13"/>
      <c r="G149" s="13"/>
    </row>
    <row r="150" spans="4:7" ht="15.75" customHeight="1" x14ac:dyDescent="0.25">
      <c r="D150" s="13"/>
      <c r="E150" s="13"/>
      <c r="F150" s="13"/>
      <c r="G150" s="13"/>
    </row>
    <row r="151" spans="4:7" ht="15.75" customHeight="1" x14ac:dyDescent="0.25">
      <c r="D151" s="13"/>
      <c r="E151" s="13"/>
      <c r="F151" s="13"/>
      <c r="G151" s="13"/>
    </row>
    <row r="152" spans="4:7" ht="15.75" customHeight="1" x14ac:dyDescent="0.25">
      <c r="D152" s="13"/>
      <c r="E152" s="13"/>
      <c r="F152" s="13"/>
      <c r="G152" s="13"/>
    </row>
    <row r="153" spans="4:7" ht="15.75" customHeight="1" x14ac:dyDescent="0.25">
      <c r="D153" s="13"/>
      <c r="E153" s="13"/>
      <c r="F153" s="13"/>
      <c r="G153" s="13"/>
    </row>
    <row r="154" spans="4:7" ht="15.75" customHeight="1" x14ac:dyDescent="0.25">
      <c r="D154" s="13"/>
      <c r="E154" s="13"/>
      <c r="F154" s="13"/>
      <c r="G154" s="13"/>
    </row>
    <row r="155" spans="4:7" ht="15.75" customHeight="1" x14ac:dyDescent="0.25">
      <c r="D155" s="13"/>
      <c r="E155" s="13"/>
      <c r="F155" s="13"/>
      <c r="G155" s="13"/>
    </row>
    <row r="156" spans="4:7" ht="15.75" customHeight="1" x14ac:dyDescent="0.25">
      <c r="D156" s="13"/>
      <c r="E156" s="13"/>
      <c r="F156" s="13"/>
      <c r="G156" s="13"/>
    </row>
    <row r="157" spans="4:7" ht="15.75" customHeight="1" x14ac:dyDescent="0.25">
      <c r="D157" s="13"/>
      <c r="E157" s="13"/>
      <c r="F157" s="13"/>
      <c r="G157" s="13"/>
    </row>
    <row r="158" spans="4:7" ht="15.75" customHeight="1" x14ac:dyDescent="0.25">
      <c r="D158" s="13"/>
      <c r="E158" s="13"/>
      <c r="F158" s="13"/>
      <c r="G158" s="13"/>
    </row>
    <row r="159" spans="4:7" ht="15.75" customHeight="1" x14ac:dyDescent="0.25">
      <c r="D159" s="13"/>
      <c r="E159" s="13"/>
      <c r="F159" s="13"/>
      <c r="G159" s="13"/>
    </row>
    <row r="160" spans="4:7" ht="15.75" customHeight="1" x14ac:dyDescent="0.25">
      <c r="D160" s="13"/>
      <c r="E160" s="13"/>
      <c r="F160" s="13"/>
      <c r="G160" s="13"/>
    </row>
    <row r="161" spans="4:7" ht="15.75" customHeight="1" x14ac:dyDescent="0.25">
      <c r="D161" s="13"/>
      <c r="E161" s="13"/>
      <c r="F161" s="13"/>
      <c r="G161" s="13"/>
    </row>
    <row r="162" spans="4:7" ht="15.75" customHeight="1" x14ac:dyDescent="0.25">
      <c r="D162" s="13"/>
      <c r="E162" s="13"/>
      <c r="F162" s="13"/>
      <c r="G162" s="13"/>
    </row>
    <row r="163" spans="4:7" ht="15.75" customHeight="1" x14ac:dyDescent="0.25">
      <c r="D163" s="13"/>
      <c r="E163" s="13"/>
      <c r="F163" s="13"/>
      <c r="G163" s="13"/>
    </row>
    <row r="164" spans="4:7" ht="15.75" customHeight="1" x14ac:dyDescent="0.25">
      <c r="D164" s="13"/>
      <c r="E164" s="13"/>
      <c r="F164" s="13"/>
      <c r="G164" s="13"/>
    </row>
    <row r="165" spans="4:7" ht="15.75" customHeight="1" x14ac:dyDescent="0.25">
      <c r="D165" s="13"/>
      <c r="E165" s="13"/>
      <c r="F165" s="13"/>
      <c r="G165" s="13"/>
    </row>
    <row r="166" spans="4:7" ht="15.75" customHeight="1" x14ac:dyDescent="0.25">
      <c r="D166" s="13"/>
      <c r="E166" s="13"/>
      <c r="F166" s="13"/>
      <c r="G166" s="13"/>
    </row>
    <row r="167" spans="4:7" ht="15.75" customHeight="1" x14ac:dyDescent="0.25">
      <c r="D167" s="13"/>
      <c r="E167" s="13"/>
      <c r="F167" s="13"/>
      <c r="G167" s="13"/>
    </row>
    <row r="168" spans="4:7" ht="15.75" customHeight="1" x14ac:dyDescent="0.25">
      <c r="D168" s="13"/>
      <c r="E168" s="13"/>
      <c r="F168" s="13"/>
      <c r="G168" s="13"/>
    </row>
    <row r="169" spans="4:7" ht="15.75" customHeight="1" x14ac:dyDescent="0.25">
      <c r="D169" s="13"/>
      <c r="E169" s="13"/>
      <c r="F169" s="13"/>
      <c r="G169" s="13"/>
    </row>
    <row r="170" spans="4:7" ht="15.75" customHeight="1" x14ac:dyDescent="0.25">
      <c r="D170" s="13"/>
      <c r="E170" s="13"/>
      <c r="F170" s="13"/>
      <c r="G170" s="13"/>
    </row>
    <row r="171" spans="4:7" ht="15.75" customHeight="1" x14ac:dyDescent="0.25">
      <c r="D171" s="13"/>
      <c r="E171" s="13"/>
      <c r="F171" s="13"/>
      <c r="G171" s="13"/>
    </row>
    <row r="172" spans="4:7" ht="15.75" customHeight="1" x14ac:dyDescent="0.25">
      <c r="D172" s="13"/>
      <c r="E172" s="13"/>
      <c r="F172" s="13"/>
      <c r="G172" s="13"/>
    </row>
    <row r="173" spans="4:7" ht="15.75" customHeight="1" x14ac:dyDescent="0.25">
      <c r="D173" s="13"/>
      <c r="E173" s="13"/>
      <c r="F173" s="13"/>
      <c r="G173" s="13"/>
    </row>
    <row r="174" spans="4:7" ht="15.75" customHeight="1" x14ac:dyDescent="0.25">
      <c r="D174" s="13"/>
      <c r="E174" s="13"/>
      <c r="F174" s="13"/>
      <c r="G174" s="13"/>
    </row>
    <row r="175" spans="4:7" ht="15.75" customHeight="1" x14ac:dyDescent="0.25">
      <c r="D175" s="13"/>
      <c r="E175" s="13"/>
      <c r="F175" s="13"/>
      <c r="G175" s="13"/>
    </row>
    <row r="176" spans="4:7" ht="15.75" customHeight="1" x14ac:dyDescent="0.25">
      <c r="D176" s="13"/>
      <c r="E176" s="13"/>
      <c r="F176" s="13"/>
      <c r="G176" s="13"/>
    </row>
    <row r="177" spans="4:7" ht="15.75" customHeight="1" x14ac:dyDescent="0.25">
      <c r="D177" s="13"/>
      <c r="E177" s="13"/>
      <c r="F177" s="13"/>
      <c r="G177" s="13"/>
    </row>
    <row r="178" spans="4:7" ht="15.75" customHeight="1" x14ac:dyDescent="0.25">
      <c r="D178" s="13"/>
      <c r="E178" s="13"/>
      <c r="F178" s="13"/>
      <c r="G178" s="13"/>
    </row>
    <row r="179" spans="4:7" ht="15.75" customHeight="1" x14ac:dyDescent="0.25">
      <c r="D179" s="13"/>
      <c r="E179" s="13"/>
      <c r="F179" s="13"/>
      <c r="G179" s="13"/>
    </row>
    <row r="180" spans="4:7" ht="15.75" customHeight="1" x14ac:dyDescent="0.25">
      <c r="D180" s="13"/>
      <c r="E180" s="13"/>
      <c r="F180" s="13"/>
      <c r="G180" s="13"/>
    </row>
    <row r="181" spans="4:7" ht="15.75" customHeight="1" x14ac:dyDescent="0.25">
      <c r="D181" s="13"/>
      <c r="E181" s="13"/>
      <c r="F181" s="13"/>
      <c r="G181" s="13"/>
    </row>
    <row r="182" spans="4:7" ht="15.75" customHeight="1" x14ac:dyDescent="0.25">
      <c r="D182" s="13"/>
      <c r="E182" s="13"/>
      <c r="F182" s="13"/>
      <c r="G182" s="13"/>
    </row>
    <row r="183" spans="4:7" ht="15.75" customHeight="1" x14ac:dyDescent="0.25">
      <c r="D183" s="13"/>
      <c r="E183" s="13"/>
      <c r="F183" s="13"/>
      <c r="G183" s="13"/>
    </row>
    <row r="184" spans="4:7" ht="15.75" customHeight="1" x14ac:dyDescent="0.25">
      <c r="D184" s="13"/>
      <c r="E184" s="13"/>
      <c r="F184" s="13"/>
      <c r="G184" s="13"/>
    </row>
    <row r="185" spans="4:7" ht="15.75" customHeight="1" x14ac:dyDescent="0.25">
      <c r="D185" s="13"/>
      <c r="E185" s="13"/>
      <c r="F185" s="13"/>
      <c r="G185" s="13"/>
    </row>
    <row r="186" spans="4:7" ht="15.75" customHeight="1" x14ac:dyDescent="0.25">
      <c r="D186" s="13"/>
      <c r="E186" s="13"/>
      <c r="F186" s="13"/>
      <c r="G186" s="13"/>
    </row>
    <row r="187" spans="4:7" ht="15.75" customHeight="1" x14ac:dyDescent="0.25">
      <c r="D187" s="13"/>
      <c r="E187" s="13"/>
      <c r="F187" s="13"/>
      <c r="G187" s="13"/>
    </row>
    <row r="188" spans="4:7" ht="15.75" customHeight="1" x14ac:dyDescent="0.25">
      <c r="D188" s="13"/>
      <c r="E188" s="13"/>
      <c r="F188" s="13"/>
      <c r="G188" s="13"/>
    </row>
    <row r="189" spans="4:7" ht="15.75" customHeight="1" x14ac:dyDescent="0.25">
      <c r="D189" s="13"/>
      <c r="E189" s="13"/>
      <c r="F189" s="13"/>
      <c r="G189" s="13"/>
    </row>
    <row r="190" spans="4:7" ht="15.75" customHeight="1" x14ac:dyDescent="0.25">
      <c r="D190" s="13"/>
      <c r="E190" s="13"/>
      <c r="F190" s="13"/>
      <c r="G190" s="13"/>
    </row>
    <row r="191" spans="4:7" ht="15.75" customHeight="1" x14ac:dyDescent="0.25">
      <c r="D191" s="13"/>
      <c r="E191" s="13"/>
      <c r="F191" s="13"/>
      <c r="G191" s="13"/>
    </row>
    <row r="192" spans="4:7" ht="15.75" customHeight="1" x14ac:dyDescent="0.25">
      <c r="D192" s="13"/>
      <c r="E192" s="13"/>
      <c r="F192" s="13"/>
      <c r="G192" s="13"/>
    </row>
    <row r="193" spans="4:7" ht="15.75" customHeight="1" x14ac:dyDescent="0.25">
      <c r="D193" s="13"/>
      <c r="E193" s="13"/>
      <c r="F193" s="13"/>
      <c r="G193" s="13"/>
    </row>
    <row r="194" spans="4:7" ht="15.75" customHeight="1" x14ac:dyDescent="0.25">
      <c r="D194" s="13"/>
      <c r="E194" s="13"/>
      <c r="F194" s="13"/>
      <c r="G194" s="13"/>
    </row>
    <row r="195" spans="4:7" ht="15.75" customHeight="1" x14ac:dyDescent="0.25">
      <c r="D195" s="13"/>
      <c r="E195" s="13"/>
      <c r="F195" s="13"/>
      <c r="G195" s="13"/>
    </row>
    <row r="196" spans="4:7" ht="15.75" customHeight="1" x14ac:dyDescent="0.25">
      <c r="D196" s="13"/>
      <c r="E196" s="13"/>
      <c r="F196" s="13"/>
      <c r="G196" s="13"/>
    </row>
    <row r="197" spans="4:7" ht="15.75" customHeight="1" x14ac:dyDescent="0.25">
      <c r="D197" s="13"/>
      <c r="E197" s="13"/>
      <c r="F197" s="13"/>
      <c r="G197" s="13"/>
    </row>
    <row r="198" spans="4:7" ht="15.75" customHeight="1" x14ac:dyDescent="0.25">
      <c r="D198" s="13"/>
      <c r="E198" s="13"/>
      <c r="F198" s="13"/>
      <c r="G198" s="13"/>
    </row>
    <row r="199" spans="4:7" ht="15.75" customHeight="1" x14ac:dyDescent="0.25">
      <c r="D199" s="13"/>
      <c r="E199" s="13"/>
      <c r="F199" s="13"/>
      <c r="G199" s="13"/>
    </row>
    <row r="200" spans="4:7" ht="15.75" customHeight="1" x14ac:dyDescent="0.25">
      <c r="D200" s="13"/>
      <c r="E200" s="13"/>
      <c r="F200" s="13"/>
      <c r="G200" s="13"/>
    </row>
    <row r="201" spans="4:7" ht="15.75" customHeight="1" x14ac:dyDescent="0.25">
      <c r="D201" s="13"/>
      <c r="E201" s="13"/>
      <c r="F201" s="13"/>
      <c r="G201" s="13"/>
    </row>
    <row r="202" spans="4:7" ht="15.75" customHeight="1" x14ac:dyDescent="0.25">
      <c r="D202" s="13"/>
      <c r="E202" s="13"/>
      <c r="F202" s="13"/>
      <c r="G202" s="13"/>
    </row>
    <row r="203" spans="4:7" ht="15.75" customHeight="1" x14ac:dyDescent="0.25">
      <c r="D203" s="13"/>
      <c r="E203" s="13"/>
      <c r="F203" s="13"/>
      <c r="G203" s="13"/>
    </row>
    <row r="204" spans="4:7" ht="15.75" customHeight="1" x14ac:dyDescent="0.25">
      <c r="D204" s="13"/>
      <c r="E204" s="13"/>
      <c r="F204" s="13"/>
      <c r="G204" s="13"/>
    </row>
    <row r="205" spans="4:7" ht="15.75" customHeight="1" x14ac:dyDescent="0.25">
      <c r="D205" s="13"/>
      <c r="E205" s="13"/>
      <c r="F205" s="13"/>
      <c r="G205" s="13"/>
    </row>
    <row r="206" spans="4:7" ht="15.75" customHeight="1" x14ac:dyDescent="0.25">
      <c r="D206" s="13"/>
      <c r="E206" s="13"/>
      <c r="F206" s="13"/>
      <c r="G206" s="13"/>
    </row>
    <row r="207" spans="4:7" ht="15.75" customHeight="1" x14ac:dyDescent="0.25">
      <c r="D207" s="13"/>
      <c r="E207" s="13"/>
      <c r="F207" s="13"/>
      <c r="G207" s="13"/>
    </row>
    <row r="208" spans="4:7" ht="15.75" customHeight="1" x14ac:dyDescent="0.25">
      <c r="D208" s="13"/>
      <c r="E208" s="13"/>
      <c r="F208" s="13"/>
      <c r="G208" s="13"/>
    </row>
    <row r="209" spans="4:7" ht="15.75" customHeight="1" x14ac:dyDescent="0.25">
      <c r="D209" s="13"/>
      <c r="E209" s="13"/>
      <c r="F209" s="13"/>
      <c r="G209" s="13"/>
    </row>
    <row r="210" spans="4:7" ht="15.75" customHeight="1" x14ac:dyDescent="0.25">
      <c r="D210" s="13"/>
      <c r="E210" s="13"/>
      <c r="F210" s="13"/>
      <c r="G210" s="13"/>
    </row>
    <row r="211" spans="4:7" ht="15.75" customHeight="1" x14ac:dyDescent="0.25">
      <c r="D211" s="13"/>
      <c r="E211" s="13"/>
      <c r="F211" s="13"/>
      <c r="G211" s="13"/>
    </row>
    <row r="212" spans="4:7" ht="15.75" customHeight="1" x14ac:dyDescent="0.25">
      <c r="D212" s="13"/>
      <c r="E212" s="13"/>
      <c r="F212" s="13"/>
      <c r="G212" s="13"/>
    </row>
    <row r="213" spans="4:7" ht="15.75" customHeight="1" x14ac:dyDescent="0.25">
      <c r="D213" s="13"/>
      <c r="E213" s="13"/>
      <c r="F213" s="13"/>
      <c r="G213" s="13"/>
    </row>
    <row r="214" spans="4:7" ht="15.75" customHeight="1" x14ac:dyDescent="0.25">
      <c r="D214" s="13"/>
      <c r="E214" s="13"/>
      <c r="F214" s="13"/>
      <c r="G214" s="13"/>
    </row>
    <row r="215" spans="4:7" ht="15.75" customHeight="1" x14ac:dyDescent="0.25">
      <c r="D215" s="13"/>
      <c r="E215" s="13"/>
      <c r="F215" s="13"/>
      <c r="G215" s="13"/>
    </row>
    <row r="216" spans="4:7" ht="15.75" customHeight="1" x14ac:dyDescent="0.25">
      <c r="D216" s="13"/>
      <c r="E216" s="13"/>
      <c r="F216" s="13"/>
      <c r="G216" s="13"/>
    </row>
    <row r="217" spans="4:7" ht="15.75" customHeight="1" x14ac:dyDescent="0.25">
      <c r="D217" s="13"/>
      <c r="E217" s="13"/>
      <c r="F217" s="13"/>
      <c r="G217" s="13"/>
    </row>
    <row r="218" spans="4:7" ht="15.75" customHeight="1" x14ac:dyDescent="0.25">
      <c r="D218" s="13"/>
      <c r="E218" s="13"/>
      <c r="F218" s="13"/>
      <c r="G218" s="13"/>
    </row>
    <row r="219" spans="4:7" ht="15.75" customHeight="1" x14ac:dyDescent="0.25">
      <c r="D219" s="13"/>
      <c r="E219" s="13"/>
      <c r="F219" s="13"/>
      <c r="G219" s="13"/>
    </row>
    <row r="220" spans="4:7" ht="15.75" customHeight="1" x14ac:dyDescent="0.25">
      <c r="D220" s="13"/>
      <c r="E220" s="13"/>
      <c r="F220" s="13"/>
      <c r="G220" s="13"/>
    </row>
    <row r="221" spans="4:7" ht="15.75" customHeight="1" x14ac:dyDescent="0.25">
      <c r="D221" s="13"/>
      <c r="E221" s="13"/>
      <c r="F221" s="13"/>
      <c r="G221" s="13"/>
    </row>
    <row r="222" spans="4:7" ht="15.75" customHeight="1" x14ac:dyDescent="0.25">
      <c r="D222" s="13"/>
      <c r="E222" s="13"/>
      <c r="F222" s="13"/>
      <c r="G222" s="13"/>
    </row>
    <row r="223" spans="4:7" ht="15.75" customHeight="1" x14ac:dyDescent="0.25">
      <c r="D223" s="13"/>
      <c r="E223" s="13"/>
      <c r="F223" s="13"/>
      <c r="G223" s="13"/>
    </row>
    <row r="224" spans="4:7" ht="15.75" customHeight="1" x14ac:dyDescent="0.25">
      <c r="D224" s="13"/>
      <c r="E224" s="13"/>
      <c r="F224" s="13"/>
      <c r="G224" s="13"/>
    </row>
    <row r="225" spans="4:7" ht="15.75" customHeight="1" x14ac:dyDescent="0.25">
      <c r="D225" s="13"/>
      <c r="E225" s="13"/>
      <c r="F225" s="13"/>
      <c r="G225" s="13"/>
    </row>
    <row r="226" spans="4:7" ht="15.75" customHeight="1" x14ac:dyDescent="0.25">
      <c r="D226" s="13"/>
      <c r="E226" s="13"/>
      <c r="F226" s="13"/>
      <c r="G226" s="13"/>
    </row>
    <row r="227" spans="4:7" ht="15.75" customHeight="1" x14ac:dyDescent="0.25">
      <c r="D227" s="13"/>
      <c r="E227" s="13"/>
      <c r="F227" s="13"/>
      <c r="G227" s="13"/>
    </row>
    <row r="228" spans="4:7" ht="15.75" customHeight="1" x14ac:dyDescent="0.25">
      <c r="D228" s="13"/>
      <c r="E228" s="13"/>
      <c r="F228" s="13"/>
      <c r="G228" s="13"/>
    </row>
    <row r="229" spans="4:7" ht="15.75" customHeight="1" x14ac:dyDescent="0.25">
      <c r="D229" s="13"/>
      <c r="E229" s="13"/>
      <c r="F229" s="13"/>
      <c r="G229" s="13"/>
    </row>
    <row r="230" spans="4:7" ht="15.75" customHeight="1" x14ac:dyDescent="0.25">
      <c r="D230" s="13"/>
      <c r="E230" s="13"/>
      <c r="F230" s="13"/>
      <c r="G230" s="13"/>
    </row>
    <row r="231" spans="4:7" ht="15.75" customHeight="1" x14ac:dyDescent="0.25">
      <c r="D231" s="13"/>
      <c r="E231" s="13"/>
      <c r="F231" s="13"/>
      <c r="G231" s="13"/>
    </row>
    <row r="232" spans="4:7" ht="15.75" customHeight="1" x14ac:dyDescent="0.25">
      <c r="D232" s="13"/>
      <c r="E232" s="13"/>
      <c r="F232" s="13"/>
      <c r="G232" s="13"/>
    </row>
    <row r="233" spans="4:7" ht="15.75" customHeight="1" x14ac:dyDescent="0.25">
      <c r="D233" s="13"/>
      <c r="E233" s="13"/>
      <c r="F233" s="13"/>
      <c r="G233" s="13"/>
    </row>
    <row r="234" spans="4:7" ht="15.75" customHeight="1" x14ac:dyDescent="0.25">
      <c r="D234" s="13"/>
      <c r="E234" s="13"/>
      <c r="F234" s="13"/>
      <c r="G234" s="13"/>
    </row>
    <row r="235" spans="4:7" ht="15.75" customHeight="1" x14ac:dyDescent="0.25">
      <c r="D235" s="13"/>
      <c r="E235" s="13"/>
      <c r="F235" s="13"/>
      <c r="G235" s="13"/>
    </row>
    <row r="236" spans="4:7" ht="15.75" customHeight="1" x14ac:dyDescent="0.25">
      <c r="D236" s="13"/>
      <c r="E236" s="13"/>
      <c r="F236" s="13"/>
      <c r="G236" s="13"/>
    </row>
    <row r="237" spans="4:7" ht="15.75" customHeight="1" x14ac:dyDescent="0.25">
      <c r="D237" s="13"/>
      <c r="E237" s="13"/>
      <c r="F237" s="13"/>
      <c r="G237" s="13"/>
    </row>
    <row r="238" spans="4:7" ht="15.75" customHeight="1" x14ac:dyDescent="0.25">
      <c r="D238" s="13"/>
      <c r="E238" s="13"/>
      <c r="F238" s="13"/>
      <c r="G238" s="13"/>
    </row>
    <row r="239" spans="4:7" ht="15.75" customHeight="1" x14ac:dyDescent="0.25">
      <c r="D239" s="13"/>
      <c r="E239" s="13"/>
      <c r="F239" s="13"/>
      <c r="G239" s="13"/>
    </row>
    <row r="240" spans="4:7" ht="15.75" customHeight="1" x14ac:dyDescent="0.25">
      <c r="D240" s="13"/>
      <c r="E240" s="13"/>
      <c r="F240" s="13"/>
      <c r="G240" s="13"/>
    </row>
    <row r="241" spans="4:7" ht="15.75" customHeight="1" x14ac:dyDescent="0.25">
      <c r="D241" s="13"/>
      <c r="E241" s="13"/>
      <c r="F241" s="13"/>
      <c r="G241" s="13"/>
    </row>
    <row r="242" spans="4:7" ht="15.75" customHeight="1" x14ac:dyDescent="0.25">
      <c r="D242" s="13"/>
      <c r="E242" s="13"/>
      <c r="F242" s="13"/>
      <c r="G242" s="13"/>
    </row>
    <row r="243" spans="4:7" ht="15.75" customHeight="1" x14ac:dyDescent="0.25">
      <c r="D243" s="13"/>
      <c r="E243" s="13"/>
      <c r="F243" s="13"/>
      <c r="G243" s="13"/>
    </row>
    <row r="244" spans="4:7" ht="15.75" customHeight="1" x14ac:dyDescent="0.25">
      <c r="D244" s="13"/>
      <c r="E244" s="13"/>
      <c r="F244" s="13"/>
      <c r="G244" s="13"/>
    </row>
    <row r="245" spans="4:7" ht="15.75" customHeight="1" x14ac:dyDescent="0.25">
      <c r="D245" s="13"/>
      <c r="E245" s="13"/>
      <c r="F245" s="13"/>
      <c r="G245" s="13"/>
    </row>
    <row r="246" spans="4:7" ht="15.75" customHeight="1" x14ac:dyDescent="0.25">
      <c r="D246" s="13"/>
      <c r="E246" s="13"/>
      <c r="F246" s="13"/>
      <c r="G246" s="13"/>
    </row>
    <row r="247" spans="4:7" ht="15.75" customHeight="1" x14ac:dyDescent="0.25">
      <c r="D247" s="13"/>
      <c r="E247" s="13"/>
      <c r="F247" s="13"/>
      <c r="G247" s="13"/>
    </row>
    <row r="248" spans="4:7" ht="15.75" customHeight="1" x14ac:dyDescent="0.25">
      <c r="D248" s="13"/>
      <c r="E248" s="13"/>
      <c r="F248" s="13"/>
      <c r="G248" s="13"/>
    </row>
    <row r="249" spans="4:7" ht="15.75" customHeight="1" x14ac:dyDescent="0.25">
      <c r="D249" s="13"/>
      <c r="E249" s="13"/>
      <c r="F249" s="13"/>
      <c r="G249" s="13"/>
    </row>
    <row r="250" spans="4:7" ht="15.75" customHeight="1" x14ac:dyDescent="0.25">
      <c r="D250" s="13"/>
      <c r="E250" s="13"/>
      <c r="F250" s="13"/>
      <c r="G250" s="13"/>
    </row>
    <row r="251" spans="4:7" ht="15.75" customHeight="1" x14ac:dyDescent="0.25">
      <c r="D251" s="13"/>
      <c r="E251" s="13"/>
      <c r="F251" s="13"/>
      <c r="G251" s="13"/>
    </row>
    <row r="252" spans="4:7" ht="15.75" customHeight="1" x14ac:dyDescent="0.25">
      <c r="D252" s="13"/>
      <c r="E252" s="13"/>
      <c r="F252" s="13"/>
      <c r="G252" s="13"/>
    </row>
    <row r="253" spans="4:7" ht="15.75" customHeight="1" x14ac:dyDescent="0.25">
      <c r="D253" s="13"/>
      <c r="E253" s="13"/>
      <c r="F253" s="13"/>
      <c r="G253" s="13"/>
    </row>
    <row r="254" spans="4:7" ht="15.75" customHeight="1" x14ac:dyDescent="0.25">
      <c r="D254" s="13"/>
      <c r="E254" s="13"/>
      <c r="F254" s="13"/>
      <c r="G254" s="13"/>
    </row>
    <row r="255" spans="4:7" ht="15.75" customHeight="1" x14ac:dyDescent="0.25">
      <c r="D255" s="13"/>
      <c r="E255" s="13"/>
      <c r="F255" s="13"/>
      <c r="G255" s="13"/>
    </row>
    <row r="256" spans="4:7" ht="15.75" customHeight="1" x14ac:dyDescent="0.25">
      <c r="D256" s="13"/>
      <c r="E256" s="13"/>
      <c r="F256" s="13"/>
      <c r="G256" s="13"/>
    </row>
    <row r="257" spans="4:7" ht="15.75" customHeight="1" x14ac:dyDescent="0.25">
      <c r="D257" s="13"/>
      <c r="E257" s="13"/>
      <c r="F257" s="13"/>
      <c r="G257" s="13"/>
    </row>
    <row r="258" spans="4:7" ht="15.75" customHeight="1" x14ac:dyDescent="0.25">
      <c r="D258" s="13"/>
      <c r="E258" s="13"/>
      <c r="F258" s="13"/>
      <c r="G258" s="13"/>
    </row>
    <row r="259" spans="4:7" ht="15.75" customHeight="1" x14ac:dyDescent="0.25">
      <c r="D259" s="13"/>
      <c r="E259" s="13"/>
      <c r="F259" s="13"/>
      <c r="G259" s="13"/>
    </row>
    <row r="260" spans="4:7" ht="15.75" customHeight="1" x14ac:dyDescent="0.25">
      <c r="D260" s="13"/>
      <c r="E260" s="13"/>
      <c r="F260" s="13"/>
      <c r="G260" s="13"/>
    </row>
    <row r="261" spans="4:7" ht="15.75" customHeight="1" x14ac:dyDescent="0.25">
      <c r="D261" s="13"/>
      <c r="E261" s="13"/>
      <c r="F261" s="13"/>
      <c r="G261" s="13"/>
    </row>
    <row r="262" spans="4:7" ht="15.75" customHeight="1" x14ac:dyDescent="0.25">
      <c r="D262" s="13"/>
      <c r="E262" s="13"/>
      <c r="F262" s="13"/>
      <c r="G262" s="13"/>
    </row>
    <row r="263" spans="4:7" ht="15.75" customHeight="1" x14ac:dyDescent="0.25">
      <c r="D263" s="13"/>
      <c r="E263" s="13"/>
      <c r="F263" s="13"/>
      <c r="G263" s="13"/>
    </row>
    <row r="264" spans="4:7" ht="15.75" customHeight="1" x14ac:dyDescent="0.25">
      <c r="D264" s="13"/>
      <c r="E264" s="13"/>
      <c r="F264" s="13"/>
      <c r="G264" s="13"/>
    </row>
    <row r="265" spans="4:7" ht="15.75" customHeight="1" x14ac:dyDescent="0.25">
      <c r="D265" s="13"/>
      <c r="E265" s="13"/>
      <c r="F265" s="13"/>
      <c r="G265" s="13"/>
    </row>
    <row r="266" spans="4:7" ht="15.75" customHeight="1" x14ac:dyDescent="0.25">
      <c r="D266" s="13"/>
      <c r="E266" s="13"/>
      <c r="F266" s="13"/>
      <c r="G266" s="13"/>
    </row>
    <row r="267" spans="4:7" ht="15.75" customHeight="1" x14ac:dyDescent="0.25">
      <c r="D267" s="13"/>
      <c r="E267" s="13"/>
      <c r="F267" s="13"/>
      <c r="G267" s="13"/>
    </row>
    <row r="268" spans="4:7" ht="15.75" customHeight="1" x14ac:dyDescent="0.25">
      <c r="D268" s="13"/>
      <c r="E268" s="13"/>
      <c r="F268" s="13"/>
      <c r="G268" s="13"/>
    </row>
    <row r="269" spans="4:7" ht="15.75" customHeight="1" x14ac:dyDescent="0.25">
      <c r="D269" s="13"/>
      <c r="E269" s="13"/>
      <c r="F269" s="13"/>
      <c r="G269" s="13"/>
    </row>
    <row r="270" spans="4:7" ht="15.75" customHeight="1" x14ac:dyDescent="0.25">
      <c r="D270" s="13"/>
      <c r="E270" s="13"/>
      <c r="F270" s="13"/>
      <c r="G270" s="13"/>
    </row>
    <row r="271" spans="4:7" ht="15.75" customHeight="1" x14ac:dyDescent="0.25">
      <c r="D271" s="13"/>
      <c r="E271" s="13"/>
      <c r="F271" s="13"/>
      <c r="G271" s="13"/>
    </row>
    <row r="272" spans="4:7" ht="15.75" customHeight="1" x14ac:dyDescent="0.25">
      <c r="D272" s="13"/>
      <c r="E272" s="13"/>
      <c r="F272" s="13"/>
      <c r="G272" s="13"/>
    </row>
    <row r="273" spans="4:7" ht="15.75" customHeight="1" x14ac:dyDescent="0.25">
      <c r="D273" s="13"/>
      <c r="E273" s="13"/>
      <c r="F273" s="13"/>
      <c r="G273" s="13"/>
    </row>
    <row r="274" spans="4:7" ht="15.75" customHeight="1" x14ac:dyDescent="0.25">
      <c r="D274" s="13"/>
      <c r="E274" s="13"/>
      <c r="F274" s="13"/>
      <c r="G274" s="13"/>
    </row>
    <row r="275" spans="4:7" ht="15.75" customHeight="1" x14ac:dyDescent="0.25">
      <c r="D275" s="13"/>
      <c r="E275" s="13"/>
      <c r="F275" s="13"/>
      <c r="G275" s="13"/>
    </row>
    <row r="276" spans="4:7" ht="15.75" customHeight="1" x14ac:dyDescent="0.25">
      <c r="D276" s="13"/>
      <c r="E276" s="13"/>
      <c r="F276" s="13"/>
      <c r="G276" s="13"/>
    </row>
    <row r="277" spans="4:7" ht="15.75" customHeight="1" x14ac:dyDescent="0.25">
      <c r="D277" s="13"/>
      <c r="E277" s="13"/>
      <c r="F277" s="13"/>
      <c r="G277" s="13"/>
    </row>
    <row r="278" spans="4:7" ht="15.75" customHeight="1" x14ac:dyDescent="0.25">
      <c r="D278" s="13"/>
      <c r="E278" s="13"/>
      <c r="F278" s="13"/>
      <c r="G278" s="13"/>
    </row>
    <row r="279" spans="4:7" ht="15.75" customHeight="1" x14ac:dyDescent="0.25">
      <c r="D279" s="13"/>
      <c r="E279" s="13"/>
      <c r="F279" s="13"/>
      <c r="G279" s="13"/>
    </row>
    <row r="280" spans="4:7" ht="15.75" customHeight="1" x14ac:dyDescent="0.25">
      <c r="D280" s="13"/>
      <c r="E280" s="13"/>
      <c r="F280" s="13"/>
      <c r="G280" s="13"/>
    </row>
    <row r="281" spans="4:7" ht="15.75" customHeight="1" x14ac:dyDescent="0.25">
      <c r="D281" s="13"/>
      <c r="E281" s="13"/>
      <c r="F281" s="13"/>
      <c r="G281" s="13"/>
    </row>
    <row r="282" spans="4:7" ht="15.75" customHeight="1" x14ac:dyDescent="0.25">
      <c r="D282" s="13"/>
      <c r="E282" s="13"/>
      <c r="F282" s="13"/>
      <c r="G282" s="13"/>
    </row>
    <row r="283" spans="4:7" ht="15.75" customHeight="1" x14ac:dyDescent="0.25">
      <c r="D283" s="13"/>
      <c r="E283" s="13"/>
      <c r="F283" s="13"/>
      <c r="G283" s="13"/>
    </row>
    <row r="284" spans="4:7" ht="15.75" customHeight="1" x14ac:dyDescent="0.25">
      <c r="D284" s="13"/>
      <c r="E284" s="13"/>
      <c r="F284" s="13"/>
      <c r="G284" s="13"/>
    </row>
    <row r="285" spans="4:7" ht="15.75" customHeight="1" x14ac:dyDescent="0.25">
      <c r="D285" s="13"/>
      <c r="E285" s="13"/>
      <c r="F285" s="13"/>
      <c r="G285" s="13"/>
    </row>
  </sheetData>
  <mergeCells count="1">
    <mergeCell ref="C3:G3"/>
  </mergeCells>
  <hyperlinks>
    <hyperlink ref="J3" location="'Table of Content'!A1" display="Return to TOC" xr:uid="{3337969A-8D1A-4DC8-AC83-65DEDC3BBA9E}"/>
  </hyperlinks>
  <pageMargins left="0.2" right="0.2" top="0.25" bottom="0.25" header="0.3" footer="0.3"/>
  <pageSetup scale="97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DCDE-260C-462D-980D-4685FFF183E7}">
  <sheetPr>
    <tabColor theme="8" tint="0.59999389629810485"/>
    <pageSetUpPr fitToPage="1"/>
  </sheetPr>
  <dimension ref="B1:K40"/>
  <sheetViews>
    <sheetView showGridLines="0" workbookViewId="0">
      <selection activeCell="C3" sqref="C3:H3"/>
    </sheetView>
  </sheetViews>
  <sheetFormatPr defaultColWidth="12.5703125" defaultRowHeight="15.75" customHeight="1" x14ac:dyDescent="0.25"/>
  <cols>
    <col min="1" max="2" width="2.7109375" style="4" customWidth="1"/>
    <col min="3" max="3" width="32.7109375" style="17" customWidth="1"/>
    <col min="4" max="5" width="19.7109375" style="9" customWidth="1"/>
    <col min="6" max="6" width="19.7109375" style="19" customWidth="1"/>
    <col min="7" max="7" width="19.7109375" style="23" customWidth="1"/>
    <col min="8" max="8" width="19.7109375" style="14" customWidth="1"/>
    <col min="9" max="9" width="2.7109375" style="4" customWidth="1"/>
    <col min="10" max="10" width="2.7109375" style="1" customWidth="1"/>
    <col min="11" max="11" width="15.7109375" style="1" customWidth="1"/>
    <col min="12" max="16384" width="12.5703125" style="4"/>
  </cols>
  <sheetData>
    <row r="1" spans="2:11" ht="15.75" customHeight="1" thickBot="1" x14ac:dyDescent="0.3"/>
    <row r="2" spans="2:11" ht="15.75" customHeight="1" x14ac:dyDescent="0.25">
      <c r="B2" s="28"/>
      <c r="C2" s="39"/>
      <c r="D2" s="40"/>
      <c r="E2" s="40"/>
      <c r="F2" s="41"/>
      <c r="G2" s="42"/>
      <c r="H2" s="43"/>
      <c r="I2" s="30"/>
    </row>
    <row r="3" spans="2:11" ht="15.75" customHeight="1" x14ac:dyDescent="0.25">
      <c r="B3" s="31"/>
      <c r="C3" s="165" t="s">
        <v>166</v>
      </c>
      <c r="D3" s="165"/>
      <c r="E3" s="165"/>
      <c r="F3" s="165"/>
      <c r="G3" s="165"/>
      <c r="H3" s="165"/>
      <c r="I3" s="32"/>
      <c r="K3" s="105" t="s">
        <v>107</v>
      </c>
    </row>
    <row r="4" spans="2:11" ht="15.75" customHeight="1" x14ac:dyDescent="0.25">
      <c r="B4" s="31"/>
      <c r="I4" s="32"/>
    </row>
    <row r="5" spans="2:11" ht="15.75" customHeight="1" x14ac:dyDescent="0.25">
      <c r="B5" s="31"/>
      <c r="C5" s="166" t="s">
        <v>63</v>
      </c>
      <c r="D5" s="166"/>
      <c r="E5" s="166"/>
      <c r="F5" s="166"/>
      <c r="G5" s="166"/>
      <c r="H5" s="166"/>
      <c r="I5" s="32"/>
      <c r="J5" s="58"/>
      <c r="K5" s="58"/>
    </row>
    <row r="6" spans="2:11" ht="15.75" customHeight="1" x14ac:dyDescent="0.25">
      <c r="B6" s="31"/>
      <c r="I6" s="32"/>
    </row>
    <row r="7" spans="2:11" s="18" customFormat="1" ht="31.5" x14ac:dyDescent="0.25">
      <c r="B7" s="44"/>
      <c r="C7" s="60" t="s">
        <v>18</v>
      </c>
      <c r="D7" s="61" t="s">
        <v>15</v>
      </c>
      <c r="E7" s="61" t="s">
        <v>61</v>
      </c>
      <c r="F7" s="62" t="s">
        <v>76</v>
      </c>
      <c r="G7" s="61" t="s">
        <v>17</v>
      </c>
      <c r="H7" s="61" t="s">
        <v>142</v>
      </c>
      <c r="I7" s="45"/>
      <c r="J7" s="1"/>
      <c r="K7" s="1"/>
    </row>
    <row r="8" spans="2:11" s="15" customFormat="1" ht="15.75" customHeight="1" x14ac:dyDescent="0.25">
      <c r="B8" s="46"/>
      <c r="C8" s="25" t="s">
        <v>2</v>
      </c>
      <c r="D8" s="22">
        <v>42465</v>
      </c>
      <c r="E8" s="22">
        <v>45387</v>
      </c>
      <c r="F8" s="134">
        <v>600</v>
      </c>
      <c r="G8" s="135">
        <v>6.2500000000000003E-3</v>
      </c>
      <c r="H8" s="135">
        <v>2.257E-2</v>
      </c>
      <c r="I8" s="47"/>
      <c r="J8" s="1"/>
      <c r="K8" s="1"/>
    </row>
    <row r="9" spans="2:11" s="15" customFormat="1" ht="15.75" customHeight="1" x14ac:dyDescent="0.25">
      <c r="B9" s="46"/>
      <c r="C9" s="25" t="s">
        <v>12</v>
      </c>
      <c r="D9" s="22">
        <v>43920</v>
      </c>
      <c r="E9" s="22">
        <v>45748</v>
      </c>
      <c r="F9" s="134">
        <v>1000</v>
      </c>
      <c r="G9" s="135">
        <v>0.01</v>
      </c>
      <c r="H9" s="135">
        <v>3.4849999999999999E-2</v>
      </c>
      <c r="I9" s="47"/>
      <c r="J9" s="1"/>
      <c r="K9" s="1"/>
    </row>
    <row r="10" spans="2:11" s="15" customFormat="1" ht="15.75" customHeight="1" x14ac:dyDescent="0.25">
      <c r="B10" s="46"/>
      <c r="C10" s="25" t="s">
        <v>13</v>
      </c>
      <c r="D10" s="22">
        <v>44657</v>
      </c>
      <c r="E10" s="22">
        <v>45753</v>
      </c>
      <c r="F10" s="134">
        <v>850</v>
      </c>
      <c r="G10" s="135">
        <v>8.7500000000000008E-3</v>
      </c>
      <c r="H10" s="135">
        <v>3.3399999999999999E-2</v>
      </c>
      <c r="I10" s="47"/>
      <c r="J10" s="1"/>
      <c r="K10" s="1"/>
    </row>
    <row r="11" spans="2:11" s="15" customFormat="1" ht="15.75" customHeight="1" x14ac:dyDescent="0.25">
      <c r="B11" s="46"/>
      <c r="C11" s="25" t="s">
        <v>1</v>
      </c>
      <c r="D11" s="22">
        <v>42269</v>
      </c>
      <c r="E11" s="22">
        <v>45922</v>
      </c>
      <c r="F11" s="134">
        <v>750</v>
      </c>
      <c r="G11" s="135">
        <v>1.4999999999999999E-2</v>
      </c>
      <c r="H11" s="135">
        <v>3.057E-2</v>
      </c>
      <c r="I11" s="47"/>
      <c r="J11" s="1"/>
      <c r="K11" s="1"/>
    </row>
    <row r="12" spans="2:11" s="15" customFormat="1" ht="15.75" customHeight="1" x14ac:dyDescent="0.25">
      <c r="B12" s="46"/>
      <c r="C12" s="25" t="s">
        <v>5</v>
      </c>
      <c r="D12" s="22">
        <v>43180</v>
      </c>
      <c r="E12" s="22">
        <v>46102</v>
      </c>
      <c r="F12" s="134">
        <v>1500</v>
      </c>
      <c r="G12" s="135">
        <v>0.01</v>
      </c>
      <c r="H12" s="135">
        <v>2.8920000000000001E-2</v>
      </c>
      <c r="I12" s="47"/>
      <c r="J12" s="1"/>
      <c r="K12" s="1"/>
    </row>
    <row r="13" spans="2:11" s="15" customFormat="1" ht="15.75" customHeight="1" x14ac:dyDescent="0.25">
      <c r="B13" s="46"/>
      <c r="C13" s="25" t="s">
        <v>0</v>
      </c>
      <c r="D13" s="22">
        <v>41892</v>
      </c>
      <c r="E13" s="22">
        <v>46275</v>
      </c>
      <c r="F13" s="134">
        <v>1510</v>
      </c>
      <c r="G13" s="135">
        <v>1.7500000000000002E-2</v>
      </c>
      <c r="H13" s="135">
        <v>2.8799999999999999E-2</v>
      </c>
      <c r="I13" s="47"/>
      <c r="J13" s="1"/>
      <c r="K13" s="1"/>
    </row>
    <row r="14" spans="2:11" s="15" customFormat="1" ht="15.75" customHeight="1" x14ac:dyDescent="0.25">
      <c r="B14" s="46"/>
      <c r="C14" s="25" t="s">
        <v>4</v>
      </c>
      <c r="D14" s="22">
        <v>42626</v>
      </c>
      <c r="E14" s="22">
        <v>46400</v>
      </c>
      <c r="F14" s="134">
        <v>1150</v>
      </c>
      <c r="G14" s="135">
        <v>5.0000000000000001E-3</v>
      </c>
      <c r="H14" s="135">
        <v>2.7879999999999999E-2</v>
      </c>
      <c r="I14" s="47"/>
      <c r="J14" s="1"/>
      <c r="K14" s="1"/>
    </row>
    <row r="15" spans="2:11" s="15" customFormat="1" ht="15.75" customHeight="1" x14ac:dyDescent="0.25">
      <c r="B15" s="46"/>
      <c r="C15" s="25" t="s">
        <v>3</v>
      </c>
      <c r="D15" s="22">
        <v>42465</v>
      </c>
      <c r="E15" s="22">
        <v>46848</v>
      </c>
      <c r="F15" s="134">
        <v>700</v>
      </c>
      <c r="G15" s="135">
        <v>1.125E-2</v>
      </c>
      <c r="H15" s="135">
        <v>2.7570000000000001E-2</v>
      </c>
      <c r="I15" s="47"/>
      <c r="J15" s="1"/>
      <c r="K15" s="1"/>
    </row>
    <row r="16" spans="2:11" s="15" customFormat="1" ht="15.75" customHeight="1" x14ac:dyDescent="0.25">
      <c r="B16" s="46"/>
      <c r="C16" s="25" t="s">
        <v>9</v>
      </c>
      <c r="D16" s="22">
        <v>43545</v>
      </c>
      <c r="E16" s="22">
        <v>47198</v>
      </c>
      <c r="F16" s="134">
        <v>650</v>
      </c>
      <c r="G16" s="135">
        <v>8.7500000000000008E-3</v>
      </c>
      <c r="H16" s="135">
        <v>2.673E-2</v>
      </c>
      <c r="I16" s="47"/>
      <c r="J16" s="1"/>
      <c r="K16" s="1"/>
    </row>
    <row r="17" spans="2:11" s="15" customFormat="1" ht="15.75" customHeight="1" x14ac:dyDescent="0.25">
      <c r="B17" s="46"/>
      <c r="C17" s="25" t="s">
        <v>14</v>
      </c>
      <c r="D17" s="22">
        <v>44657</v>
      </c>
      <c r="E17" s="22">
        <v>47214</v>
      </c>
      <c r="F17" s="134">
        <v>650</v>
      </c>
      <c r="G17" s="135">
        <v>1.2500000000000001E-2</v>
      </c>
      <c r="H17" s="135">
        <v>2.7810000000000001E-2</v>
      </c>
      <c r="I17" s="47"/>
      <c r="J17" s="1"/>
      <c r="K17" s="1"/>
    </row>
    <row r="18" spans="2:11" s="15" customFormat="1" ht="15.75" customHeight="1" x14ac:dyDescent="0.25">
      <c r="B18" s="46"/>
      <c r="C18" s="25" t="s">
        <v>6</v>
      </c>
      <c r="D18" s="22">
        <v>43180</v>
      </c>
      <c r="E18" s="22">
        <v>47563</v>
      </c>
      <c r="F18" s="134">
        <v>2000</v>
      </c>
      <c r="G18" s="135">
        <v>1.375E-2</v>
      </c>
      <c r="H18" s="135">
        <v>2.8559999999999999E-2</v>
      </c>
      <c r="I18" s="47"/>
      <c r="J18" s="13"/>
      <c r="K18" s="1"/>
    </row>
    <row r="19" spans="2:11" s="15" customFormat="1" ht="15.75" customHeight="1" x14ac:dyDescent="0.25">
      <c r="B19" s="46"/>
      <c r="C19" s="25" t="s">
        <v>11</v>
      </c>
      <c r="D19" s="22">
        <v>43920</v>
      </c>
      <c r="E19" s="22">
        <v>47574</v>
      </c>
      <c r="F19" s="134">
        <v>1000</v>
      </c>
      <c r="G19" s="135">
        <v>1.4999999999999999E-2</v>
      </c>
      <c r="H19" s="135">
        <v>2.81E-2</v>
      </c>
      <c r="I19" s="47"/>
      <c r="J19" s="1"/>
      <c r="K19" s="1"/>
    </row>
    <row r="20" spans="2:11" s="15" customFormat="1" ht="15.75" customHeight="1" x14ac:dyDescent="0.25">
      <c r="B20" s="46"/>
      <c r="C20" s="25" t="s">
        <v>10</v>
      </c>
      <c r="D20" s="22">
        <v>43545</v>
      </c>
      <c r="E20" s="22">
        <v>49024</v>
      </c>
      <c r="F20" s="134">
        <v>500</v>
      </c>
      <c r="G20" s="135">
        <v>1.2500000000000001E-2</v>
      </c>
      <c r="H20" s="135">
        <v>2.6939999999999999E-2</v>
      </c>
      <c r="I20" s="47"/>
      <c r="J20" s="1"/>
      <c r="K20" s="1"/>
    </row>
    <row r="21" spans="2:11" s="15" customFormat="1" ht="15.75" customHeight="1" x14ac:dyDescent="0.25">
      <c r="B21" s="46"/>
      <c r="C21" s="25" t="s">
        <v>7</v>
      </c>
      <c r="D21" s="22">
        <v>43180</v>
      </c>
      <c r="E21" s="22">
        <v>50485</v>
      </c>
      <c r="F21" s="136">
        <v>1250</v>
      </c>
      <c r="G21" s="135">
        <v>1.8749999999999999E-2</v>
      </c>
      <c r="H21" s="135">
        <v>3.007E-2</v>
      </c>
      <c r="I21" s="47"/>
      <c r="J21" s="1"/>
      <c r="K21" s="1"/>
    </row>
    <row r="22" spans="2:11" ht="15.75" customHeight="1" x14ac:dyDescent="0.25">
      <c r="B22" s="31"/>
      <c r="F22" s="87">
        <f>SUM(F8:F21)</f>
        <v>14110</v>
      </c>
      <c r="G22" s="14"/>
      <c r="I22" s="32"/>
    </row>
    <row r="23" spans="2:11" ht="15.75" customHeight="1" x14ac:dyDescent="0.25">
      <c r="B23" s="31"/>
      <c r="I23" s="32"/>
    </row>
    <row r="24" spans="2:11" ht="15.75" customHeight="1" x14ac:dyDescent="0.25">
      <c r="B24" s="31"/>
      <c r="C24" s="166" t="s">
        <v>77</v>
      </c>
      <c r="D24" s="166"/>
      <c r="E24" s="166"/>
      <c r="F24" s="166"/>
      <c r="G24" s="166"/>
      <c r="H24" s="166"/>
      <c r="I24" s="32"/>
    </row>
    <row r="25" spans="2:11" ht="15.75" customHeight="1" x14ac:dyDescent="0.25">
      <c r="B25" s="31"/>
      <c r="I25" s="32"/>
    </row>
    <row r="26" spans="2:11" ht="31.5" x14ac:dyDescent="0.25">
      <c r="B26" s="31"/>
      <c r="C26" s="60" t="s">
        <v>18</v>
      </c>
      <c r="D26" s="61" t="s">
        <v>15</v>
      </c>
      <c r="E26" s="61" t="s">
        <v>61</v>
      </c>
      <c r="F26" s="62" t="s">
        <v>76</v>
      </c>
      <c r="G26" s="61" t="s">
        <v>17</v>
      </c>
      <c r="H26" s="61" t="s">
        <v>142</v>
      </c>
      <c r="I26" s="32"/>
    </row>
    <row r="27" spans="2:11" s="15" customFormat="1" ht="15.75" customHeight="1" x14ac:dyDescent="0.25">
      <c r="B27" s="46"/>
      <c r="C27" s="25" t="s">
        <v>8</v>
      </c>
      <c r="D27" s="82">
        <v>43270</v>
      </c>
      <c r="E27" s="82">
        <v>46923</v>
      </c>
      <c r="F27" s="137">
        <v>1000</v>
      </c>
      <c r="G27" s="135">
        <v>3.6249999999999998E-2</v>
      </c>
      <c r="H27" s="135">
        <v>4.0320000000000002E-2</v>
      </c>
      <c r="I27" s="47"/>
      <c r="J27" s="1"/>
      <c r="K27" s="1"/>
    </row>
    <row r="28" spans="2:11" ht="15.75" customHeight="1" x14ac:dyDescent="0.25">
      <c r="B28" s="31"/>
      <c r="I28" s="32"/>
    </row>
    <row r="29" spans="2:11" ht="15.75" customHeight="1" x14ac:dyDescent="0.25">
      <c r="B29" s="31"/>
      <c r="C29" s="166" t="s">
        <v>80</v>
      </c>
      <c r="D29" s="166"/>
      <c r="E29" s="166"/>
      <c r="F29" s="166"/>
      <c r="G29" s="166"/>
      <c r="H29" s="16"/>
      <c r="I29" s="32"/>
    </row>
    <row r="30" spans="2:11" ht="15.75" customHeight="1" x14ac:dyDescent="0.25">
      <c r="B30" s="31"/>
      <c r="C30" s="16"/>
      <c r="D30" s="81"/>
      <c r="I30" s="32"/>
    </row>
    <row r="31" spans="2:11" ht="31.5" x14ac:dyDescent="0.25">
      <c r="B31" s="31"/>
      <c r="C31" s="60" t="s">
        <v>64</v>
      </c>
      <c r="D31" s="62" t="s">
        <v>78</v>
      </c>
      <c r="E31" s="62" t="s">
        <v>76</v>
      </c>
      <c r="G31" s="24"/>
      <c r="I31" s="32"/>
    </row>
    <row r="32" spans="2:11" ht="15.75" customHeight="1" x14ac:dyDescent="0.25">
      <c r="B32" s="31"/>
      <c r="C32" s="65" t="s">
        <v>81</v>
      </c>
      <c r="D32" s="138">
        <v>6000</v>
      </c>
      <c r="E32" s="138">
        <v>40</v>
      </c>
      <c r="G32" s="24"/>
      <c r="I32" s="32"/>
    </row>
    <row r="33" spans="2:9" ht="15.75" customHeight="1" x14ac:dyDescent="0.25">
      <c r="B33" s="31"/>
      <c r="C33" s="66" t="s">
        <v>82</v>
      </c>
      <c r="D33" s="139">
        <v>10000</v>
      </c>
      <c r="E33" s="139">
        <v>1000</v>
      </c>
      <c r="G33" s="24"/>
      <c r="I33" s="32"/>
    </row>
    <row r="34" spans="2:9" ht="15.75" customHeight="1" x14ac:dyDescent="0.25">
      <c r="B34" s="31"/>
      <c r="C34" s="66"/>
      <c r="D34" s="67"/>
      <c r="E34" s="67"/>
      <c r="F34" s="20"/>
      <c r="G34" s="24"/>
      <c r="I34" s="32"/>
    </row>
    <row r="35" spans="2:9" ht="15.75" customHeight="1" x14ac:dyDescent="0.25">
      <c r="B35" s="31"/>
      <c r="C35" s="166" t="s">
        <v>79</v>
      </c>
      <c r="D35" s="166"/>
      <c r="E35" s="166"/>
      <c r="F35" s="16"/>
      <c r="G35" s="16"/>
      <c r="H35" s="16"/>
      <c r="I35" s="32"/>
    </row>
    <row r="36" spans="2:9" ht="15.75" customHeight="1" x14ac:dyDescent="0.25">
      <c r="B36" s="31"/>
      <c r="C36" s="68"/>
      <c r="D36" s="69"/>
      <c r="E36" s="67"/>
      <c r="I36" s="32"/>
    </row>
    <row r="37" spans="2:9" ht="31.5" x14ac:dyDescent="0.25">
      <c r="B37" s="31"/>
      <c r="C37" s="70" t="s">
        <v>64</v>
      </c>
      <c r="D37" s="71" t="s">
        <v>78</v>
      </c>
      <c r="E37" s="71" t="s">
        <v>76</v>
      </c>
      <c r="F37" s="24"/>
      <c r="G37" s="4"/>
      <c r="I37" s="32"/>
    </row>
    <row r="38" spans="2:9" ht="15.75" customHeight="1" x14ac:dyDescent="0.25">
      <c r="B38" s="31"/>
      <c r="C38" s="72" t="s">
        <v>144</v>
      </c>
      <c r="D38" s="138"/>
      <c r="E38" s="138">
        <f>1248+203</f>
        <v>1451</v>
      </c>
      <c r="F38" s="24"/>
      <c r="G38" s="4"/>
      <c r="I38" s="32"/>
    </row>
    <row r="39" spans="2:9" ht="15.75" customHeight="1" x14ac:dyDescent="0.25">
      <c r="B39" s="31"/>
      <c r="C39" s="65" t="s">
        <v>155</v>
      </c>
      <c r="D39" s="138">
        <v>8000</v>
      </c>
      <c r="E39" s="138">
        <v>0</v>
      </c>
      <c r="F39" s="21"/>
      <c r="G39" s="4"/>
      <c r="I39" s="32"/>
    </row>
    <row r="40" spans="2:9" ht="15.75" customHeight="1" thickBot="1" x14ac:dyDescent="0.3">
      <c r="B40" s="35"/>
      <c r="C40" s="48"/>
      <c r="D40" s="49"/>
      <c r="E40" s="49"/>
      <c r="F40" s="50"/>
      <c r="G40" s="51"/>
      <c r="H40" s="52"/>
      <c r="I40" s="38"/>
    </row>
  </sheetData>
  <mergeCells count="5">
    <mergeCell ref="C3:H3"/>
    <mergeCell ref="C24:H24"/>
    <mergeCell ref="C5:H5"/>
    <mergeCell ref="C29:G29"/>
    <mergeCell ref="C35:E35"/>
  </mergeCells>
  <hyperlinks>
    <hyperlink ref="K3" location="'Table of Content'!A1" display="Return to TOC" xr:uid="{ACA322E1-4571-481C-810C-C95B38DC2B83}"/>
  </hyperlinks>
  <pageMargins left="0.2" right="0.2" top="0.25" bottom="0.25" header="0.3" footer="0.3"/>
  <pageSetup scale="8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1283-2AF2-4EEB-A3B3-65240DAF76E9}">
  <sheetPr>
    <tabColor theme="8" tint="0.59999389629810485"/>
    <pageSetUpPr fitToPage="1"/>
  </sheetPr>
  <dimension ref="B1:I316"/>
  <sheetViews>
    <sheetView showGridLines="0" workbookViewId="0">
      <selection activeCell="C3" sqref="C3:F3"/>
    </sheetView>
  </sheetViews>
  <sheetFormatPr defaultColWidth="12.5703125" defaultRowHeight="15.75" customHeight="1" x14ac:dyDescent="0.25"/>
  <cols>
    <col min="1" max="2" width="2.7109375" style="1" customWidth="1"/>
    <col min="3" max="3" width="60.7109375" style="1" customWidth="1"/>
    <col min="4" max="6" width="12.7109375" style="1" customWidth="1"/>
    <col min="7" max="8" width="2.7109375" style="1" customWidth="1"/>
    <col min="9" max="9" width="15.7109375" style="1" customWidth="1"/>
    <col min="10" max="16384" width="12.5703125" style="1"/>
  </cols>
  <sheetData>
    <row r="1" spans="2:9" ht="15.75" customHeight="1" thickBot="1" x14ac:dyDescent="0.3"/>
    <row r="2" spans="2:9" ht="15.75" customHeight="1" x14ac:dyDescent="0.25">
      <c r="B2" s="28"/>
      <c r="C2" s="29"/>
      <c r="D2" s="29"/>
      <c r="E2" s="29"/>
      <c r="F2" s="29"/>
      <c r="G2" s="30"/>
    </row>
    <row r="3" spans="2:9" ht="15.75" customHeight="1" x14ac:dyDescent="0.25">
      <c r="B3" s="31"/>
      <c r="C3" s="164" t="s">
        <v>127</v>
      </c>
      <c r="D3" s="164"/>
      <c r="E3" s="164"/>
      <c r="F3" s="164"/>
      <c r="G3" s="32"/>
      <c r="I3" s="105" t="s">
        <v>107</v>
      </c>
    </row>
    <row r="4" spans="2:9" ht="15.75" customHeight="1" x14ac:dyDescent="0.25">
      <c r="B4" s="31"/>
      <c r="C4" s="4"/>
      <c r="D4" s="4"/>
      <c r="E4" s="4"/>
      <c r="F4" s="4"/>
      <c r="G4" s="32"/>
    </row>
    <row r="5" spans="2:9" ht="15.75" customHeight="1" x14ac:dyDescent="0.25">
      <c r="B5" s="31"/>
      <c r="C5" s="167" t="s">
        <v>65</v>
      </c>
      <c r="D5" s="167"/>
      <c r="E5" s="167"/>
      <c r="F5" s="167"/>
      <c r="G5" s="32"/>
      <c r="H5" s="58"/>
    </row>
    <row r="6" spans="2:9" ht="15.75" customHeight="1" x14ac:dyDescent="0.25">
      <c r="B6" s="31"/>
      <c r="C6" s="4"/>
      <c r="D6" s="4"/>
      <c r="E6" s="4"/>
      <c r="F6" s="4"/>
      <c r="G6" s="32"/>
    </row>
    <row r="7" spans="2:9" s="6" customFormat="1" ht="15.75" customHeight="1" x14ac:dyDescent="0.25">
      <c r="B7" s="33"/>
      <c r="C7" s="10"/>
      <c r="D7" s="12">
        <v>2023</v>
      </c>
      <c r="E7" s="12">
        <v>2022</v>
      </c>
      <c r="F7" s="12">
        <v>2021</v>
      </c>
      <c r="G7" s="34"/>
      <c r="H7" s="1"/>
    </row>
    <row r="8" spans="2:9" ht="15.75" customHeight="1" x14ac:dyDescent="0.25">
      <c r="B8" s="31"/>
      <c r="C8" s="26" t="s">
        <v>48</v>
      </c>
      <c r="D8" s="140">
        <v>43070</v>
      </c>
      <c r="E8" s="140">
        <v>42997</v>
      </c>
      <c r="F8" s="140">
        <v>37761</v>
      </c>
      <c r="G8" s="32"/>
    </row>
    <row r="9" spans="2:9" ht="15.75" customHeight="1" x14ac:dyDescent="0.25">
      <c r="B9" s="31"/>
      <c r="C9" s="26" t="s">
        <v>49</v>
      </c>
      <c r="D9" s="140">
        <v>32208</v>
      </c>
      <c r="E9" s="140">
        <v>31694</v>
      </c>
      <c r="F9" s="140">
        <v>26920</v>
      </c>
      <c r="G9" s="32"/>
    </row>
    <row r="10" spans="2:9" ht="15.75" customHeight="1" x14ac:dyDescent="0.25">
      <c r="B10" s="31"/>
      <c r="C10" s="26" t="s">
        <v>50</v>
      </c>
      <c r="D10" s="140">
        <v>7875</v>
      </c>
      <c r="E10" s="140">
        <v>10656</v>
      </c>
      <c r="F10" s="140">
        <v>8126</v>
      </c>
      <c r="G10" s="32"/>
    </row>
    <row r="11" spans="2:9" ht="15.75" customHeight="1" x14ac:dyDescent="0.25">
      <c r="B11" s="31"/>
      <c r="C11" s="27" t="s">
        <v>51</v>
      </c>
      <c r="D11" s="140">
        <v>-1313</v>
      </c>
      <c r="E11" s="140">
        <v>-440</v>
      </c>
      <c r="F11" s="140">
        <v>-368</v>
      </c>
      <c r="G11" s="32"/>
    </row>
    <row r="12" spans="2:9" ht="15.75" customHeight="1" x14ac:dyDescent="0.25">
      <c r="B12" s="31"/>
      <c r="C12" s="27" t="s">
        <v>52</v>
      </c>
      <c r="D12" s="140">
        <v>591</v>
      </c>
      <c r="E12" s="140">
        <v>206</v>
      </c>
      <c r="F12" s="140">
        <v>40</v>
      </c>
      <c r="G12" s="32"/>
    </row>
    <row r="13" spans="2:9" ht="15.75" customHeight="1" x14ac:dyDescent="0.25">
      <c r="B13" s="31"/>
      <c r="C13" s="26" t="s">
        <v>53</v>
      </c>
      <c r="D13" s="140">
        <f>SUM(D10:D12)</f>
        <v>7153</v>
      </c>
      <c r="E13" s="140">
        <f>SUM(E10:E12)</f>
        <v>10422</v>
      </c>
      <c r="F13" s="140">
        <f>SUM(F10:F12)</f>
        <v>7798</v>
      </c>
      <c r="G13" s="32"/>
    </row>
    <row r="14" spans="2:9" ht="15.75" customHeight="1" x14ac:dyDescent="0.25">
      <c r="B14" s="31"/>
      <c r="C14" s="26" t="s">
        <v>54</v>
      </c>
      <c r="D14" s="140">
        <v>-1602</v>
      </c>
      <c r="E14" s="140">
        <v>-2006</v>
      </c>
      <c r="F14" s="140">
        <v>-1558</v>
      </c>
      <c r="G14" s="32"/>
    </row>
    <row r="15" spans="2:9" ht="15.75" customHeight="1" x14ac:dyDescent="0.25">
      <c r="B15" s="31"/>
      <c r="C15" s="27" t="s">
        <v>161</v>
      </c>
      <c r="D15" s="140">
        <v>-115</v>
      </c>
      <c r="E15" s="140">
        <v>68</v>
      </c>
      <c r="F15" s="140">
        <v>39</v>
      </c>
      <c r="G15" s="32"/>
    </row>
    <row r="16" spans="2:9" ht="15.75" customHeight="1" x14ac:dyDescent="0.25">
      <c r="B16" s="31"/>
      <c r="C16" s="26" t="s">
        <v>55</v>
      </c>
      <c r="D16" s="140">
        <f>SUM(D13:D15)</f>
        <v>5436</v>
      </c>
      <c r="E16" s="140">
        <f t="shared" ref="E16:F16" si="0">SUM(E13:E15)</f>
        <v>8484</v>
      </c>
      <c r="F16" s="140">
        <f t="shared" si="0"/>
        <v>6279</v>
      </c>
      <c r="G16" s="32"/>
    </row>
    <row r="17" spans="2:8" ht="15.75" customHeight="1" x14ac:dyDescent="0.25">
      <c r="B17" s="31"/>
      <c r="C17" s="27" t="s">
        <v>118</v>
      </c>
      <c r="D17" s="140">
        <v>36</v>
      </c>
      <c r="E17" s="140">
        <v>113</v>
      </c>
      <c r="F17" s="140">
        <v>56</v>
      </c>
      <c r="G17" s="32"/>
    </row>
    <row r="18" spans="2:8" ht="15.75" customHeight="1" x14ac:dyDescent="0.25">
      <c r="B18" s="31"/>
      <c r="C18" s="27" t="s">
        <v>119</v>
      </c>
      <c r="D18" s="140">
        <f>D16-D17</f>
        <v>5400</v>
      </c>
      <c r="E18" s="140">
        <f t="shared" ref="E18:F18" si="1">E16-E17</f>
        <v>8371</v>
      </c>
      <c r="F18" s="140">
        <f t="shared" si="1"/>
        <v>6223</v>
      </c>
      <c r="G18" s="32"/>
    </row>
    <row r="19" spans="2:8" ht="15.75" customHeight="1" x14ac:dyDescent="0.25">
      <c r="B19" s="31"/>
      <c r="C19" s="4"/>
      <c r="D19" s="5"/>
      <c r="E19" s="5"/>
      <c r="F19" s="5"/>
      <c r="G19" s="32"/>
    </row>
    <row r="20" spans="2:8" ht="15.75" customHeight="1" x14ac:dyDescent="0.25">
      <c r="B20" s="31"/>
      <c r="C20" s="167" t="s">
        <v>120</v>
      </c>
      <c r="D20" s="167"/>
      <c r="E20" s="167"/>
      <c r="F20" s="167"/>
      <c r="G20" s="32"/>
    </row>
    <row r="21" spans="2:8" ht="15.75" customHeight="1" x14ac:dyDescent="0.25">
      <c r="B21" s="31"/>
      <c r="C21" s="77"/>
      <c r="D21" s="77"/>
      <c r="E21" s="77"/>
      <c r="F21" s="77"/>
      <c r="G21" s="32"/>
      <c r="H21" s="13"/>
    </row>
    <row r="22" spans="2:8" ht="15.75" customHeight="1" x14ac:dyDescent="0.25">
      <c r="B22" s="31"/>
      <c r="C22" s="77"/>
      <c r="D22" s="12">
        <v>2023</v>
      </c>
      <c r="E22" s="12">
        <v>2022</v>
      </c>
      <c r="F22" s="12">
        <v>2021</v>
      </c>
      <c r="G22" s="32"/>
    </row>
    <row r="23" spans="2:8" ht="15.75" customHeight="1" x14ac:dyDescent="0.25">
      <c r="B23" s="31"/>
      <c r="C23" s="77"/>
      <c r="D23" s="77"/>
      <c r="E23" s="77"/>
      <c r="F23" s="77"/>
      <c r="G23" s="32"/>
    </row>
    <row r="24" spans="2:8" ht="15.75" customHeight="1" x14ac:dyDescent="0.25">
      <c r="B24" s="31"/>
      <c r="C24" s="27" t="s">
        <v>56</v>
      </c>
      <c r="D24" s="140">
        <v>8710</v>
      </c>
      <c r="E24" s="140">
        <v>12736</v>
      </c>
      <c r="F24" s="140">
        <v>10098</v>
      </c>
      <c r="G24" s="32"/>
    </row>
    <row r="25" spans="2:8" ht="15.75" customHeight="1" x14ac:dyDescent="0.25">
      <c r="B25" s="31"/>
      <c r="C25" s="27" t="s">
        <v>121</v>
      </c>
      <c r="D25" s="140">
        <v>14632</v>
      </c>
      <c r="E25" s="140">
        <v>14562</v>
      </c>
      <c r="F25" s="140">
        <v>14375</v>
      </c>
      <c r="G25" s="32"/>
    </row>
    <row r="26" spans="2:8" ht="15.75" customHeight="1" x14ac:dyDescent="0.25">
      <c r="B26" s="31"/>
      <c r="C26" s="27" t="s">
        <v>122</v>
      </c>
      <c r="D26" s="141">
        <v>95794</v>
      </c>
      <c r="E26" s="141">
        <v>92611</v>
      </c>
      <c r="F26" s="141">
        <v>89589</v>
      </c>
      <c r="G26" s="32"/>
    </row>
    <row r="27" spans="2:8" ht="15.75" customHeight="1" x14ac:dyDescent="0.25">
      <c r="B27" s="31"/>
      <c r="C27" s="26" t="s">
        <v>110</v>
      </c>
      <c r="D27" s="5">
        <f>SUM(D24:D26)</f>
        <v>119136</v>
      </c>
      <c r="E27" s="5">
        <f t="shared" ref="E27:F27" si="2">SUM(E24:E26)</f>
        <v>119909</v>
      </c>
      <c r="F27" s="5">
        <f t="shared" si="2"/>
        <v>114062</v>
      </c>
      <c r="G27" s="32"/>
    </row>
    <row r="28" spans="2:8" ht="15.75" customHeight="1" x14ac:dyDescent="0.25">
      <c r="B28" s="31"/>
      <c r="C28" s="26"/>
      <c r="D28" s="5"/>
      <c r="E28" s="5"/>
      <c r="F28" s="5"/>
      <c r="G28" s="32"/>
    </row>
    <row r="29" spans="2:8" ht="15.75" customHeight="1" x14ac:dyDescent="0.25">
      <c r="B29" s="31"/>
      <c r="C29" s="78" t="s">
        <v>57</v>
      </c>
      <c r="D29" s="140">
        <v>2045</v>
      </c>
      <c r="E29" s="140">
        <v>4174</v>
      </c>
      <c r="F29" s="140">
        <v>3183</v>
      </c>
      <c r="G29" s="32"/>
    </row>
    <row r="30" spans="2:8" ht="15.75" customHeight="1" x14ac:dyDescent="0.25">
      <c r="B30" s="31"/>
      <c r="C30" s="78" t="s">
        <v>58</v>
      </c>
      <c r="D30" s="141">
        <v>14347</v>
      </c>
      <c r="E30" s="141">
        <v>14857</v>
      </c>
      <c r="F30" s="141">
        <v>17123</v>
      </c>
      <c r="G30" s="32"/>
    </row>
    <row r="31" spans="2:8" ht="15.75" customHeight="1" x14ac:dyDescent="0.25">
      <c r="B31" s="31"/>
      <c r="C31" s="27" t="s">
        <v>123</v>
      </c>
      <c r="D31" s="5">
        <f>SUM(D29:D30)</f>
        <v>16392</v>
      </c>
      <c r="E31" s="5">
        <f t="shared" ref="E31:F31" si="3">SUM(E29:E30)</f>
        <v>19031</v>
      </c>
      <c r="F31" s="5">
        <f t="shared" si="3"/>
        <v>20306</v>
      </c>
      <c r="G31" s="32"/>
    </row>
    <row r="32" spans="2:8" ht="15.75" customHeight="1" x14ac:dyDescent="0.25">
      <c r="B32" s="31"/>
      <c r="C32" s="27" t="s">
        <v>124</v>
      </c>
      <c r="D32" s="140">
        <v>28391</v>
      </c>
      <c r="E32" s="140">
        <v>25726</v>
      </c>
      <c r="F32" s="140">
        <v>24725</v>
      </c>
      <c r="G32" s="32"/>
    </row>
    <row r="33" spans="2:7" ht="15.75" customHeight="1" x14ac:dyDescent="0.25">
      <c r="B33" s="31"/>
      <c r="C33" s="27" t="s">
        <v>59</v>
      </c>
      <c r="D33" s="140">
        <v>74353</v>
      </c>
      <c r="E33" s="140">
        <v>75152</v>
      </c>
      <c r="F33" s="140">
        <v>69031</v>
      </c>
      <c r="G33" s="32"/>
    </row>
    <row r="34" spans="2:7" ht="15.75" customHeight="1" x14ac:dyDescent="0.25">
      <c r="B34" s="31"/>
      <c r="C34" s="78" t="s">
        <v>118</v>
      </c>
      <c r="D34" s="140">
        <v>313</v>
      </c>
      <c r="E34" s="140">
        <v>368</v>
      </c>
      <c r="F34" s="140">
        <v>350</v>
      </c>
      <c r="G34" s="32"/>
    </row>
    <row r="35" spans="2:7" ht="15.75" customHeight="1" x14ac:dyDescent="0.25">
      <c r="B35" s="31"/>
      <c r="C35" s="78" t="s">
        <v>119</v>
      </c>
      <c r="D35" s="97">
        <f>D33-D34</f>
        <v>74040</v>
      </c>
      <c r="E35" s="97">
        <f t="shared" ref="E35:F35" si="4">E33-E34</f>
        <v>74784</v>
      </c>
      <c r="F35" s="97">
        <f t="shared" si="4"/>
        <v>68681</v>
      </c>
      <c r="G35" s="32"/>
    </row>
    <row r="36" spans="2:7" ht="15.75" customHeight="1" x14ac:dyDescent="0.25">
      <c r="B36" s="31"/>
      <c r="C36" s="26" t="s">
        <v>125</v>
      </c>
      <c r="D36" s="5">
        <f>SUM(D31:D33)</f>
        <v>119136</v>
      </c>
      <c r="E36" s="5">
        <f t="shared" ref="E36:F36" si="5">SUM(E31:E33)</f>
        <v>119909</v>
      </c>
      <c r="F36" s="5">
        <f t="shared" si="5"/>
        <v>114062</v>
      </c>
      <c r="G36" s="32"/>
    </row>
    <row r="37" spans="2:7" ht="15.75" customHeight="1" x14ac:dyDescent="0.25">
      <c r="B37" s="31"/>
      <c r="C37" s="4"/>
      <c r="D37" s="5"/>
      <c r="E37" s="5"/>
      <c r="F37" s="5"/>
      <c r="G37" s="32"/>
    </row>
    <row r="38" spans="2:7" ht="15.75" customHeight="1" x14ac:dyDescent="0.25">
      <c r="B38" s="31"/>
      <c r="C38" s="167" t="s">
        <v>66</v>
      </c>
      <c r="D38" s="167"/>
      <c r="E38" s="167"/>
      <c r="F38" s="167"/>
      <c r="G38" s="32"/>
    </row>
    <row r="39" spans="2:7" ht="15.75" customHeight="1" x14ac:dyDescent="0.25">
      <c r="B39" s="31"/>
      <c r="C39" s="77"/>
      <c r="D39" s="77"/>
      <c r="E39" s="77"/>
      <c r="F39" s="77"/>
      <c r="G39" s="32"/>
    </row>
    <row r="40" spans="2:7" ht="15.75" customHeight="1" x14ac:dyDescent="0.25">
      <c r="B40" s="31"/>
      <c r="C40" s="77"/>
      <c r="D40" s="12">
        <v>2023</v>
      </c>
      <c r="E40" s="12">
        <v>2022</v>
      </c>
      <c r="F40" s="12">
        <v>2021</v>
      </c>
      <c r="G40" s="32"/>
    </row>
    <row r="41" spans="2:7" ht="15.75" customHeight="1" x14ac:dyDescent="0.25">
      <c r="B41" s="31"/>
      <c r="C41" s="77"/>
      <c r="D41" s="77"/>
      <c r="E41" s="77"/>
      <c r="F41" s="77"/>
      <c r="G41" s="32"/>
    </row>
    <row r="42" spans="2:7" ht="15.75" customHeight="1" x14ac:dyDescent="0.25">
      <c r="B42" s="31"/>
      <c r="C42" s="27" t="s">
        <v>67</v>
      </c>
      <c r="D42" s="140">
        <v>10258</v>
      </c>
      <c r="E42" s="140">
        <v>10526</v>
      </c>
      <c r="F42" s="140">
        <v>10522</v>
      </c>
      <c r="G42" s="32"/>
    </row>
    <row r="43" spans="2:7" ht="15.75" customHeight="1" x14ac:dyDescent="0.25">
      <c r="B43" s="31"/>
      <c r="C43" s="27" t="s">
        <v>164</v>
      </c>
      <c r="D43" s="140">
        <v>-6200</v>
      </c>
      <c r="E43" s="140">
        <v>-2075</v>
      </c>
      <c r="F43" s="140">
        <v>-7298</v>
      </c>
      <c r="G43" s="32"/>
    </row>
    <row r="44" spans="2:7" ht="15.75" customHeight="1" x14ac:dyDescent="0.25">
      <c r="B44" s="31"/>
      <c r="C44" s="27" t="s">
        <v>68</v>
      </c>
      <c r="D44" s="140">
        <v>8052</v>
      </c>
      <c r="E44" s="140">
        <v>-5821</v>
      </c>
      <c r="F44" s="140">
        <v>-7056</v>
      </c>
      <c r="G44" s="32"/>
    </row>
    <row r="45" spans="2:7" ht="15.75" customHeight="1" x14ac:dyDescent="0.25">
      <c r="B45" s="31"/>
      <c r="C45" s="27" t="s">
        <v>69</v>
      </c>
      <c r="D45" s="140">
        <v>-32</v>
      </c>
      <c r="E45" s="140">
        <v>8</v>
      </c>
      <c r="F45" s="140">
        <v>15</v>
      </c>
      <c r="G45" s="32"/>
    </row>
    <row r="46" spans="2:7" ht="15.75" customHeight="1" x14ac:dyDescent="0.25">
      <c r="B46" s="31"/>
      <c r="C46" s="26" t="s">
        <v>70</v>
      </c>
      <c r="D46" s="5">
        <f>SUM(D42:D45)</f>
        <v>12078</v>
      </c>
      <c r="E46" s="5">
        <f t="shared" ref="E46:F46" si="6">SUM(E42:E45)</f>
        <v>2638</v>
      </c>
      <c r="F46" s="5">
        <f t="shared" si="6"/>
        <v>-3817</v>
      </c>
      <c r="G46" s="32"/>
    </row>
    <row r="47" spans="2:7" ht="15.75" customHeight="1" x14ac:dyDescent="0.25">
      <c r="B47" s="31"/>
      <c r="C47" s="26"/>
      <c r="D47" s="5"/>
      <c r="E47" s="5"/>
      <c r="F47" s="5"/>
      <c r="G47" s="32"/>
    </row>
    <row r="48" spans="2:7" ht="15.75" customHeight="1" x14ac:dyDescent="0.25">
      <c r="B48" s="31"/>
      <c r="C48" s="167" t="s">
        <v>126</v>
      </c>
      <c r="D48" s="167"/>
      <c r="E48" s="167"/>
      <c r="F48" s="167"/>
      <c r="G48" s="32"/>
    </row>
    <row r="49" spans="2:7" ht="15.75" customHeight="1" x14ac:dyDescent="0.25">
      <c r="B49" s="31"/>
      <c r="C49" s="26"/>
      <c r="D49" s="5"/>
      <c r="E49" s="5"/>
      <c r="F49" s="5"/>
      <c r="G49" s="32"/>
    </row>
    <row r="50" spans="2:7" ht="15.75" customHeight="1" x14ac:dyDescent="0.25">
      <c r="B50" s="31"/>
      <c r="C50" s="26"/>
      <c r="D50" s="12">
        <v>2023</v>
      </c>
      <c r="E50" s="12">
        <v>2022</v>
      </c>
      <c r="F50" s="12">
        <v>2021</v>
      </c>
      <c r="G50" s="32"/>
    </row>
    <row r="51" spans="2:7" ht="15.75" customHeight="1" x14ac:dyDescent="0.25">
      <c r="B51" s="31"/>
      <c r="C51" s="26"/>
      <c r="D51" s="5"/>
      <c r="E51" s="5"/>
      <c r="F51" s="5"/>
      <c r="G51" s="32"/>
    </row>
    <row r="52" spans="2:7" ht="15.75" customHeight="1" x14ac:dyDescent="0.25">
      <c r="B52" s="31"/>
      <c r="C52" s="26" t="s">
        <v>108</v>
      </c>
      <c r="D52" s="98">
        <f>(D8-E8)/E8</f>
        <v>1.697792869269949E-3</v>
      </c>
      <c r="E52" s="98">
        <f t="shared" ref="E52" si="7">(E8-F8)/F8</f>
        <v>0.13866158205555998</v>
      </c>
      <c r="F52" s="142">
        <v>4.7723426098054994E-2</v>
      </c>
      <c r="G52" s="32"/>
    </row>
    <row r="53" spans="2:7" ht="15.75" customHeight="1" x14ac:dyDescent="0.25">
      <c r="B53" s="31"/>
      <c r="C53" s="26"/>
      <c r="D53" s="5"/>
      <c r="E53" s="5"/>
      <c r="F53" s="5"/>
      <c r="G53" s="32"/>
    </row>
    <row r="54" spans="2:7" ht="15.75" customHeight="1" x14ac:dyDescent="0.25">
      <c r="B54" s="31"/>
      <c r="C54" s="96" t="s">
        <v>111</v>
      </c>
      <c r="D54" s="98">
        <f>D10/D8</f>
        <v>0.18284188530299511</v>
      </c>
      <c r="E54" s="98">
        <f t="shared" ref="E54:F54" si="8">E10/E8</f>
        <v>0.24783124404028187</v>
      </c>
      <c r="F54" s="98">
        <f t="shared" si="8"/>
        <v>0.21519557215116125</v>
      </c>
      <c r="G54" s="32"/>
    </row>
    <row r="55" spans="2:7" ht="15.75" customHeight="1" x14ac:dyDescent="0.25">
      <c r="B55" s="31"/>
      <c r="C55" s="96" t="s">
        <v>112</v>
      </c>
      <c r="D55" s="100">
        <f>D8/D27</f>
        <v>0.36151960784313725</v>
      </c>
      <c r="E55" s="100">
        <f t="shared" ref="E55:F55" si="9">E8/E27</f>
        <v>0.35858025669466009</v>
      </c>
      <c r="F55" s="100">
        <f t="shared" si="9"/>
        <v>0.33105679367361612</v>
      </c>
      <c r="G55" s="32"/>
    </row>
    <row r="56" spans="2:7" ht="15.75" customHeight="1" x14ac:dyDescent="0.25">
      <c r="B56" s="31"/>
      <c r="C56" s="95" t="s">
        <v>113</v>
      </c>
      <c r="D56" s="98">
        <f>D54*D55</f>
        <v>6.6100926672038679E-2</v>
      </c>
      <c r="E56" s="98">
        <f t="shared" ref="E56:F56" si="10">E54*E55</f>
        <v>8.8867391104921215E-2</v>
      </c>
      <c r="F56" s="98">
        <f t="shared" si="10"/>
        <v>7.1241956129122763E-2</v>
      </c>
      <c r="G56" s="32"/>
    </row>
    <row r="57" spans="2:7" ht="15.75" customHeight="1" x14ac:dyDescent="0.25">
      <c r="B57" s="31"/>
      <c r="C57" s="96" t="s">
        <v>115</v>
      </c>
      <c r="D57" s="99">
        <f>D27/D35</f>
        <v>1.6090761750405187</v>
      </c>
      <c r="E57" s="99">
        <f>E27/E35</f>
        <v>1.6034044715447155</v>
      </c>
      <c r="F57" s="99">
        <f>F27/F35</f>
        <v>1.6607504258819761</v>
      </c>
      <c r="G57" s="32"/>
    </row>
    <row r="58" spans="2:7" ht="15.75" customHeight="1" x14ac:dyDescent="0.25">
      <c r="B58" s="31"/>
      <c r="C58" s="96" t="s">
        <v>116</v>
      </c>
      <c r="D58" s="100">
        <f>D13/D10</f>
        <v>0.9083174603174603</v>
      </c>
      <c r="E58" s="100">
        <f>E13/E10</f>
        <v>0.97804054054054057</v>
      </c>
      <c r="F58" s="100">
        <f>F13/F10</f>
        <v>0.95963573714004435</v>
      </c>
      <c r="G58" s="32"/>
    </row>
    <row r="59" spans="2:7" ht="15.75" customHeight="1" x14ac:dyDescent="0.25">
      <c r="B59" s="31"/>
      <c r="C59" s="95" t="s">
        <v>117</v>
      </c>
      <c r="D59" s="99">
        <f>D57*D58</f>
        <v>1.4615519847701373</v>
      </c>
      <c r="E59" s="99">
        <f t="shared" ref="E59:F59" si="11">E57*E58</f>
        <v>1.5681945760547134</v>
      </c>
      <c r="F59" s="99">
        <f t="shared" si="11"/>
        <v>1.5937154591468927</v>
      </c>
      <c r="G59" s="32"/>
    </row>
    <row r="60" spans="2:7" ht="15.75" customHeight="1" x14ac:dyDescent="0.25">
      <c r="B60" s="31"/>
      <c r="C60" s="129" t="s">
        <v>114</v>
      </c>
      <c r="D60" s="100">
        <f>D18/D13</f>
        <v>0.75492800223682366</v>
      </c>
      <c r="E60" s="100">
        <f>E18/E13</f>
        <v>0.80320475916330836</v>
      </c>
      <c r="F60" s="100">
        <f>F18/F13</f>
        <v>0.79802513464991021</v>
      </c>
      <c r="G60" s="32"/>
    </row>
    <row r="61" spans="2:7" ht="15.75" customHeight="1" x14ac:dyDescent="0.25">
      <c r="B61" s="31"/>
      <c r="C61" s="26" t="s">
        <v>109</v>
      </c>
      <c r="D61" s="98">
        <f>D56*D59*D60</f>
        <v>7.2933549432739067E-2</v>
      </c>
      <c r="E61" s="98">
        <f t="shared" ref="E61:F61" si="12">E56*E59*E60</f>
        <v>0.1119357081728712</v>
      </c>
      <c r="F61" s="98">
        <f t="shared" si="12"/>
        <v>9.0607300417873946E-2</v>
      </c>
      <c r="G61" s="32"/>
    </row>
    <row r="62" spans="2:7" ht="15.75" customHeight="1" thickBot="1" x14ac:dyDescent="0.3">
      <c r="B62" s="35"/>
      <c r="C62" s="36"/>
      <c r="D62" s="37"/>
      <c r="E62" s="37"/>
      <c r="F62" s="37"/>
      <c r="G62" s="38"/>
    </row>
    <row r="63" spans="2:7" ht="15.75" customHeight="1" x14ac:dyDescent="0.25">
      <c r="D63" s="13"/>
      <c r="E63" s="13"/>
      <c r="F63" s="13"/>
    </row>
    <row r="64" spans="2:7" ht="15.75" customHeight="1" x14ac:dyDescent="0.25">
      <c r="D64" s="13"/>
      <c r="E64" s="13"/>
      <c r="F64" s="13"/>
    </row>
    <row r="65" spans="4:6" ht="15.75" customHeight="1" x14ac:dyDescent="0.25">
      <c r="D65" s="13"/>
      <c r="E65" s="13"/>
      <c r="F65" s="13"/>
    </row>
    <row r="66" spans="4:6" ht="15.75" customHeight="1" x14ac:dyDescent="0.25">
      <c r="D66" s="13"/>
      <c r="E66" s="13"/>
      <c r="F66" s="13"/>
    </row>
    <row r="67" spans="4:6" ht="15.75" customHeight="1" x14ac:dyDescent="0.25">
      <c r="D67" s="13"/>
      <c r="E67" s="13"/>
      <c r="F67" s="13"/>
    </row>
    <row r="68" spans="4:6" ht="15.75" customHeight="1" x14ac:dyDescent="0.25">
      <c r="D68" s="13"/>
      <c r="E68" s="13"/>
      <c r="F68" s="13"/>
    </row>
    <row r="69" spans="4:6" ht="15.75" customHeight="1" x14ac:dyDescent="0.25">
      <c r="D69" s="13"/>
      <c r="E69" s="13"/>
      <c r="F69" s="13"/>
    </row>
    <row r="70" spans="4:6" ht="15.75" customHeight="1" x14ac:dyDescent="0.25">
      <c r="D70" s="13"/>
      <c r="E70" s="13"/>
      <c r="F70" s="13"/>
    </row>
    <row r="71" spans="4:6" ht="15.75" customHeight="1" x14ac:dyDescent="0.25">
      <c r="D71" s="13"/>
      <c r="E71" s="13"/>
      <c r="F71" s="13"/>
    </row>
    <row r="72" spans="4:6" ht="15.75" customHeight="1" x14ac:dyDescent="0.25">
      <c r="D72" s="13"/>
      <c r="E72" s="13"/>
      <c r="F72" s="13"/>
    </row>
    <row r="73" spans="4:6" ht="15.75" customHeight="1" x14ac:dyDescent="0.25">
      <c r="D73" s="13"/>
      <c r="E73" s="13"/>
      <c r="F73" s="13"/>
    </row>
    <row r="74" spans="4:6" ht="15.75" customHeight="1" x14ac:dyDescent="0.25">
      <c r="D74" s="13"/>
      <c r="E74" s="13"/>
      <c r="F74" s="13"/>
    </row>
    <row r="75" spans="4:6" ht="15.75" customHeight="1" x14ac:dyDescent="0.25">
      <c r="D75" s="13"/>
      <c r="E75" s="13"/>
      <c r="F75" s="13"/>
    </row>
    <row r="76" spans="4:6" ht="15.75" customHeight="1" x14ac:dyDescent="0.25">
      <c r="D76" s="13"/>
      <c r="E76" s="13"/>
      <c r="F76" s="13"/>
    </row>
    <row r="77" spans="4:6" ht="15.75" customHeight="1" x14ac:dyDescent="0.25">
      <c r="D77" s="13"/>
      <c r="E77" s="13"/>
      <c r="F77" s="13"/>
    </row>
    <row r="78" spans="4:6" ht="15.75" customHeight="1" x14ac:dyDescent="0.25">
      <c r="D78" s="13"/>
      <c r="E78" s="13"/>
      <c r="F78" s="13"/>
    </row>
    <row r="79" spans="4:6" ht="15.75" customHeight="1" x14ac:dyDescent="0.25">
      <c r="D79" s="13"/>
      <c r="E79" s="13"/>
      <c r="F79" s="13"/>
    </row>
    <row r="80" spans="4:6" ht="15.75" customHeight="1" x14ac:dyDescent="0.25">
      <c r="D80" s="13"/>
      <c r="E80" s="13"/>
      <c r="F80" s="13"/>
    </row>
    <row r="81" spans="4:6" ht="15.75" customHeight="1" x14ac:dyDescent="0.25">
      <c r="D81" s="13"/>
      <c r="E81" s="13"/>
      <c r="F81" s="13"/>
    </row>
    <row r="82" spans="4:6" ht="15.75" customHeight="1" x14ac:dyDescent="0.25">
      <c r="D82" s="13"/>
      <c r="E82" s="13"/>
      <c r="F82" s="13"/>
    </row>
    <row r="83" spans="4:6" ht="15.75" customHeight="1" x14ac:dyDescent="0.25">
      <c r="D83" s="13"/>
      <c r="E83" s="13"/>
      <c r="F83" s="13"/>
    </row>
    <row r="84" spans="4:6" ht="15.75" customHeight="1" x14ac:dyDescent="0.25">
      <c r="D84" s="13"/>
      <c r="E84" s="13"/>
      <c r="F84" s="13"/>
    </row>
    <row r="85" spans="4:6" ht="15.75" customHeight="1" x14ac:dyDescent="0.25">
      <c r="D85" s="13"/>
      <c r="E85" s="13"/>
      <c r="F85" s="13"/>
    </row>
    <row r="86" spans="4:6" ht="15.75" customHeight="1" x14ac:dyDescent="0.25">
      <c r="D86" s="13"/>
      <c r="E86" s="13"/>
      <c r="F86" s="13"/>
    </row>
    <row r="87" spans="4:6" ht="15.75" customHeight="1" x14ac:dyDescent="0.25">
      <c r="D87" s="13"/>
      <c r="E87" s="13"/>
      <c r="F87" s="13"/>
    </row>
    <row r="88" spans="4:6" ht="15.75" customHeight="1" x14ac:dyDescent="0.25">
      <c r="D88" s="13"/>
      <c r="E88" s="13"/>
      <c r="F88" s="13"/>
    </row>
    <row r="89" spans="4:6" ht="15.75" customHeight="1" x14ac:dyDescent="0.25">
      <c r="D89" s="13"/>
      <c r="E89" s="13"/>
      <c r="F89" s="13"/>
    </row>
    <row r="90" spans="4:6" ht="15.75" customHeight="1" x14ac:dyDescent="0.25">
      <c r="D90" s="13"/>
      <c r="E90" s="13"/>
      <c r="F90" s="13"/>
    </row>
    <row r="91" spans="4:6" ht="15.75" customHeight="1" x14ac:dyDescent="0.25">
      <c r="D91" s="13"/>
      <c r="E91" s="13"/>
      <c r="F91" s="13"/>
    </row>
    <row r="92" spans="4:6" ht="15.75" customHeight="1" x14ac:dyDescent="0.25">
      <c r="D92" s="13"/>
      <c r="E92" s="13"/>
      <c r="F92" s="13"/>
    </row>
    <row r="93" spans="4:6" ht="15.75" customHeight="1" x14ac:dyDescent="0.25">
      <c r="D93" s="13"/>
      <c r="E93" s="13"/>
      <c r="F93" s="13"/>
    </row>
    <row r="94" spans="4:6" ht="15.75" customHeight="1" x14ac:dyDescent="0.25">
      <c r="D94" s="13"/>
      <c r="E94" s="13"/>
      <c r="F94" s="13"/>
    </row>
    <row r="95" spans="4:6" ht="15.75" customHeight="1" x14ac:dyDescent="0.25">
      <c r="D95" s="13"/>
      <c r="E95" s="13"/>
      <c r="F95" s="13"/>
    </row>
    <row r="96" spans="4:6" ht="15.75" customHeight="1" x14ac:dyDescent="0.25">
      <c r="D96" s="13"/>
      <c r="E96" s="13"/>
      <c r="F96" s="13"/>
    </row>
    <row r="97" spans="4:6" ht="15.75" customHeight="1" x14ac:dyDescent="0.25">
      <c r="D97" s="13"/>
      <c r="E97" s="13"/>
      <c r="F97" s="13"/>
    </row>
    <row r="98" spans="4:6" ht="15.75" customHeight="1" x14ac:dyDescent="0.25">
      <c r="D98" s="13"/>
      <c r="E98" s="13"/>
      <c r="F98" s="13"/>
    </row>
    <row r="99" spans="4:6" ht="15.75" customHeight="1" x14ac:dyDescent="0.25">
      <c r="D99" s="13"/>
      <c r="E99" s="13"/>
      <c r="F99" s="13"/>
    </row>
    <row r="100" spans="4:6" ht="15.75" customHeight="1" x14ac:dyDescent="0.25">
      <c r="D100" s="13"/>
      <c r="E100" s="13"/>
      <c r="F100" s="13"/>
    </row>
    <row r="101" spans="4:6" ht="15.75" customHeight="1" x14ac:dyDescent="0.25">
      <c r="D101" s="13"/>
      <c r="E101" s="13"/>
      <c r="F101" s="13"/>
    </row>
    <row r="102" spans="4:6" ht="15.75" customHeight="1" x14ac:dyDescent="0.25">
      <c r="D102" s="13"/>
      <c r="E102" s="13"/>
      <c r="F102" s="13"/>
    </row>
    <row r="103" spans="4:6" ht="15.75" customHeight="1" x14ac:dyDescent="0.25">
      <c r="D103" s="13"/>
      <c r="E103" s="13"/>
      <c r="F103" s="13"/>
    </row>
    <row r="104" spans="4:6" ht="15.75" customHeight="1" x14ac:dyDescent="0.25">
      <c r="D104" s="13"/>
      <c r="E104" s="13"/>
      <c r="F104" s="13"/>
    </row>
    <row r="105" spans="4:6" ht="15.75" customHeight="1" x14ac:dyDescent="0.25">
      <c r="D105" s="13"/>
      <c r="E105" s="13"/>
      <c r="F105" s="13"/>
    </row>
    <row r="106" spans="4:6" ht="15.75" customHeight="1" x14ac:dyDescent="0.25">
      <c r="D106" s="13"/>
      <c r="E106" s="13"/>
      <c r="F106" s="13"/>
    </row>
    <row r="107" spans="4:6" ht="15.75" customHeight="1" x14ac:dyDescent="0.25">
      <c r="D107" s="13"/>
      <c r="E107" s="13"/>
      <c r="F107" s="13"/>
    </row>
    <row r="108" spans="4:6" ht="15.75" customHeight="1" x14ac:dyDescent="0.25">
      <c r="D108" s="13"/>
      <c r="E108" s="13"/>
      <c r="F108" s="13"/>
    </row>
    <row r="109" spans="4:6" ht="15.75" customHeight="1" x14ac:dyDescent="0.25">
      <c r="D109" s="13"/>
      <c r="E109" s="13"/>
      <c r="F109" s="13"/>
    </row>
    <row r="110" spans="4:6" ht="15.75" customHeight="1" x14ac:dyDescent="0.25">
      <c r="D110" s="13"/>
      <c r="E110" s="13"/>
      <c r="F110" s="13"/>
    </row>
    <row r="111" spans="4:6" ht="15.75" customHeight="1" x14ac:dyDescent="0.25">
      <c r="D111" s="13"/>
      <c r="E111" s="13"/>
      <c r="F111" s="13"/>
    </row>
    <row r="112" spans="4:6" ht="15.75" customHeight="1" x14ac:dyDescent="0.25">
      <c r="D112" s="13"/>
      <c r="E112" s="13"/>
      <c r="F112" s="13"/>
    </row>
    <row r="113" spans="4:6" ht="15.75" customHeight="1" x14ac:dyDescent="0.25">
      <c r="D113" s="13"/>
      <c r="E113" s="13"/>
      <c r="F113" s="13"/>
    </row>
    <row r="114" spans="4:6" ht="15.75" customHeight="1" x14ac:dyDescent="0.25">
      <c r="D114" s="13"/>
      <c r="E114" s="13"/>
      <c r="F114" s="13"/>
    </row>
    <row r="115" spans="4:6" ht="15.75" customHeight="1" x14ac:dyDescent="0.25">
      <c r="D115" s="13"/>
      <c r="E115" s="13"/>
      <c r="F115" s="13"/>
    </row>
    <row r="116" spans="4:6" ht="15.75" customHeight="1" x14ac:dyDescent="0.25">
      <c r="D116" s="13"/>
      <c r="E116" s="13"/>
      <c r="F116" s="13"/>
    </row>
    <row r="117" spans="4:6" ht="15.75" customHeight="1" x14ac:dyDescent="0.25">
      <c r="D117" s="13"/>
      <c r="E117" s="13"/>
      <c r="F117" s="13"/>
    </row>
    <row r="118" spans="4:6" ht="15.75" customHeight="1" x14ac:dyDescent="0.25">
      <c r="D118" s="13"/>
      <c r="E118" s="13"/>
      <c r="F118" s="13"/>
    </row>
    <row r="119" spans="4:6" ht="15.75" customHeight="1" x14ac:dyDescent="0.25">
      <c r="D119" s="13"/>
      <c r="E119" s="13"/>
      <c r="F119" s="13"/>
    </row>
    <row r="120" spans="4:6" ht="15.75" customHeight="1" x14ac:dyDescent="0.25">
      <c r="D120" s="13"/>
      <c r="E120" s="13"/>
      <c r="F120" s="13"/>
    </row>
    <row r="121" spans="4:6" ht="15.75" customHeight="1" x14ac:dyDescent="0.25">
      <c r="D121" s="13"/>
      <c r="E121" s="13"/>
      <c r="F121" s="13"/>
    </row>
    <row r="122" spans="4:6" ht="15.75" customHeight="1" x14ac:dyDescent="0.25">
      <c r="D122" s="13"/>
      <c r="E122" s="13"/>
      <c r="F122" s="13"/>
    </row>
    <row r="123" spans="4:6" ht="15.75" customHeight="1" x14ac:dyDescent="0.25">
      <c r="D123" s="13"/>
      <c r="E123" s="13"/>
      <c r="F123" s="13"/>
    </row>
    <row r="124" spans="4:6" ht="15.75" customHeight="1" x14ac:dyDescent="0.25">
      <c r="D124" s="13"/>
      <c r="E124" s="13"/>
      <c r="F124" s="13"/>
    </row>
    <row r="125" spans="4:6" ht="15.75" customHeight="1" x14ac:dyDescent="0.25">
      <c r="D125" s="13"/>
      <c r="E125" s="13"/>
      <c r="F125" s="13"/>
    </row>
    <row r="126" spans="4:6" ht="15.75" customHeight="1" x14ac:dyDescent="0.25">
      <c r="D126" s="13"/>
      <c r="E126" s="13"/>
      <c r="F126" s="13"/>
    </row>
    <row r="127" spans="4:6" ht="15.75" customHeight="1" x14ac:dyDescent="0.25">
      <c r="D127" s="13"/>
      <c r="E127" s="13"/>
      <c r="F127" s="13"/>
    </row>
    <row r="128" spans="4:6" ht="15.75" customHeight="1" x14ac:dyDescent="0.25">
      <c r="D128" s="13"/>
      <c r="E128" s="13"/>
      <c r="F128" s="13"/>
    </row>
    <row r="129" spans="4:6" ht="15.75" customHeight="1" x14ac:dyDescent="0.25">
      <c r="D129" s="13"/>
      <c r="E129" s="13"/>
      <c r="F129" s="13"/>
    </row>
    <row r="130" spans="4:6" ht="15.75" customHeight="1" x14ac:dyDescent="0.25">
      <c r="D130" s="13"/>
      <c r="E130" s="13"/>
      <c r="F130" s="13"/>
    </row>
    <row r="131" spans="4:6" ht="15.75" customHeight="1" x14ac:dyDescent="0.25">
      <c r="D131" s="13"/>
      <c r="E131" s="13"/>
      <c r="F131" s="13"/>
    </row>
    <row r="132" spans="4:6" ht="15.75" customHeight="1" x14ac:dyDescent="0.25">
      <c r="D132" s="13"/>
      <c r="E132" s="13"/>
      <c r="F132" s="13"/>
    </row>
    <row r="133" spans="4:6" ht="15.75" customHeight="1" x14ac:dyDescent="0.25">
      <c r="D133" s="13"/>
      <c r="E133" s="13"/>
      <c r="F133" s="13"/>
    </row>
    <row r="134" spans="4:6" ht="15.75" customHeight="1" x14ac:dyDescent="0.25">
      <c r="D134" s="13"/>
      <c r="E134" s="13"/>
      <c r="F134" s="13"/>
    </row>
    <row r="135" spans="4:6" ht="15.75" customHeight="1" x14ac:dyDescent="0.25">
      <c r="D135" s="13"/>
      <c r="E135" s="13"/>
      <c r="F135" s="13"/>
    </row>
    <row r="136" spans="4:6" ht="15.75" customHeight="1" x14ac:dyDescent="0.25">
      <c r="D136" s="13"/>
      <c r="E136" s="13"/>
      <c r="F136" s="13"/>
    </row>
    <row r="137" spans="4:6" ht="15.75" customHeight="1" x14ac:dyDescent="0.25">
      <c r="D137" s="13"/>
      <c r="E137" s="13"/>
      <c r="F137" s="13"/>
    </row>
    <row r="138" spans="4:6" ht="15.75" customHeight="1" x14ac:dyDescent="0.25">
      <c r="D138" s="13"/>
      <c r="E138" s="13"/>
      <c r="F138" s="13"/>
    </row>
    <row r="139" spans="4:6" ht="15.75" customHeight="1" x14ac:dyDescent="0.25">
      <c r="D139" s="13"/>
      <c r="E139" s="13"/>
      <c r="F139" s="13"/>
    </row>
    <row r="140" spans="4:6" ht="15.75" customHeight="1" x14ac:dyDescent="0.25">
      <c r="D140" s="13"/>
      <c r="E140" s="13"/>
      <c r="F140" s="13"/>
    </row>
    <row r="141" spans="4:6" ht="15.75" customHeight="1" x14ac:dyDescent="0.25">
      <c r="D141" s="13"/>
      <c r="E141" s="13"/>
      <c r="F141" s="13"/>
    </row>
    <row r="142" spans="4:6" ht="15.75" customHeight="1" x14ac:dyDescent="0.25">
      <c r="D142" s="13"/>
      <c r="E142" s="13"/>
      <c r="F142" s="13"/>
    </row>
    <row r="143" spans="4:6" ht="15.75" customHeight="1" x14ac:dyDescent="0.25">
      <c r="D143" s="13"/>
      <c r="E143" s="13"/>
      <c r="F143" s="13"/>
    </row>
    <row r="144" spans="4:6" ht="15.75" customHeight="1" x14ac:dyDescent="0.25">
      <c r="D144" s="13"/>
      <c r="E144" s="13"/>
      <c r="F144" s="13"/>
    </row>
    <row r="145" spans="4:6" ht="15.75" customHeight="1" x14ac:dyDescent="0.25">
      <c r="D145" s="13"/>
      <c r="E145" s="13"/>
      <c r="F145" s="13"/>
    </row>
    <row r="146" spans="4:6" ht="15.75" customHeight="1" x14ac:dyDescent="0.25">
      <c r="D146" s="13"/>
      <c r="E146" s="13"/>
      <c r="F146" s="13"/>
    </row>
    <row r="147" spans="4:6" ht="15.75" customHeight="1" x14ac:dyDescent="0.25">
      <c r="D147" s="13"/>
      <c r="E147" s="13"/>
      <c r="F147" s="13"/>
    </row>
    <row r="148" spans="4:6" ht="15.75" customHeight="1" x14ac:dyDescent="0.25">
      <c r="D148" s="13"/>
      <c r="E148" s="13"/>
      <c r="F148" s="13"/>
    </row>
    <row r="149" spans="4:6" ht="15.75" customHeight="1" x14ac:dyDescent="0.25">
      <c r="D149" s="13"/>
      <c r="E149" s="13"/>
      <c r="F149" s="13"/>
    </row>
    <row r="150" spans="4:6" ht="15.75" customHeight="1" x14ac:dyDescent="0.25">
      <c r="D150" s="13"/>
      <c r="E150" s="13"/>
      <c r="F150" s="13"/>
    </row>
    <row r="151" spans="4:6" ht="15.75" customHeight="1" x14ac:dyDescent="0.25">
      <c r="D151" s="13"/>
      <c r="E151" s="13"/>
      <c r="F151" s="13"/>
    </row>
    <row r="152" spans="4:6" ht="15.75" customHeight="1" x14ac:dyDescent="0.25">
      <c r="D152" s="13"/>
      <c r="E152" s="13"/>
      <c r="F152" s="13"/>
    </row>
    <row r="153" spans="4:6" ht="15.75" customHeight="1" x14ac:dyDescent="0.25">
      <c r="D153" s="13"/>
      <c r="E153" s="13"/>
      <c r="F153" s="13"/>
    </row>
    <row r="154" spans="4:6" ht="15.75" customHeight="1" x14ac:dyDescent="0.25">
      <c r="D154" s="13"/>
      <c r="E154" s="13"/>
      <c r="F154" s="13"/>
    </row>
    <row r="155" spans="4:6" ht="15.75" customHeight="1" x14ac:dyDescent="0.25">
      <c r="D155" s="13"/>
      <c r="E155" s="13"/>
      <c r="F155" s="13"/>
    </row>
    <row r="156" spans="4:6" ht="15.75" customHeight="1" x14ac:dyDescent="0.25">
      <c r="D156" s="13"/>
      <c r="E156" s="13"/>
      <c r="F156" s="13"/>
    </row>
    <row r="157" spans="4:6" ht="15.75" customHeight="1" x14ac:dyDescent="0.25">
      <c r="D157" s="13"/>
      <c r="E157" s="13"/>
      <c r="F157" s="13"/>
    </row>
    <row r="158" spans="4:6" ht="15.75" customHeight="1" x14ac:dyDescent="0.25">
      <c r="D158" s="13"/>
      <c r="E158" s="13"/>
      <c r="F158" s="13"/>
    </row>
    <row r="159" spans="4:6" ht="15.75" customHeight="1" x14ac:dyDescent="0.25">
      <c r="D159" s="13"/>
      <c r="E159" s="13"/>
      <c r="F159" s="13"/>
    </row>
    <row r="160" spans="4:6" ht="15.75" customHeight="1" x14ac:dyDescent="0.25">
      <c r="D160" s="13"/>
      <c r="E160" s="13"/>
      <c r="F160" s="13"/>
    </row>
    <row r="161" spans="4:6" ht="15.75" customHeight="1" x14ac:dyDescent="0.25">
      <c r="D161" s="13"/>
      <c r="E161" s="13"/>
      <c r="F161" s="13"/>
    </row>
    <row r="162" spans="4:6" ht="15.75" customHeight="1" x14ac:dyDescent="0.25">
      <c r="D162" s="13"/>
      <c r="E162" s="13"/>
      <c r="F162" s="13"/>
    </row>
    <row r="163" spans="4:6" ht="15.75" customHeight="1" x14ac:dyDescent="0.25">
      <c r="D163" s="13"/>
      <c r="E163" s="13"/>
      <c r="F163" s="13"/>
    </row>
    <row r="164" spans="4:6" ht="15.75" customHeight="1" x14ac:dyDescent="0.25">
      <c r="D164" s="13"/>
      <c r="E164" s="13"/>
      <c r="F164" s="13"/>
    </row>
    <row r="165" spans="4:6" ht="15.75" customHeight="1" x14ac:dyDescent="0.25">
      <c r="D165" s="13"/>
      <c r="E165" s="13"/>
      <c r="F165" s="13"/>
    </row>
    <row r="166" spans="4:6" ht="15.75" customHeight="1" x14ac:dyDescent="0.25">
      <c r="D166" s="13"/>
      <c r="E166" s="13"/>
      <c r="F166" s="13"/>
    </row>
    <row r="167" spans="4:6" ht="15.75" customHeight="1" x14ac:dyDescent="0.25">
      <c r="D167" s="13"/>
      <c r="E167" s="13"/>
      <c r="F167" s="13"/>
    </row>
    <row r="168" spans="4:6" ht="15.75" customHeight="1" x14ac:dyDescent="0.25">
      <c r="D168" s="13"/>
      <c r="E168" s="13"/>
      <c r="F168" s="13"/>
    </row>
    <row r="169" spans="4:6" ht="15.75" customHeight="1" x14ac:dyDescent="0.25">
      <c r="D169" s="13"/>
      <c r="E169" s="13"/>
      <c r="F169" s="13"/>
    </row>
    <row r="170" spans="4:6" ht="15.75" customHeight="1" x14ac:dyDescent="0.25">
      <c r="D170" s="13"/>
      <c r="E170" s="13"/>
      <c r="F170" s="13"/>
    </row>
    <row r="171" spans="4:6" ht="15.75" customHeight="1" x14ac:dyDescent="0.25">
      <c r="D171" s="13"/>
      <c r="E171" s="13"/>
      <c r="F171" s="13"/>
    </row>
    <row r="172" spans="4:6" ht="15.75" customHeight="1" x14ac:dyDescent="0.25">
      <c r="D172" s="13"/>
      <c r="E172" s="13"/>
      <c r="F172" s="13"/>
    </row>
    <row r="173" spans="4:6" ht="15.75" customHeight="1" x14ac:dyDescent="0.25">
      <c r="D173" s="13"/>
      <c r="E173" s="13"/>
      <c r="F173" s="13"/>
    </row>
    <row r="174" spans="4:6" ht="15.75" customHeight="1" x14ac:dyDescent="0.25">
      <c r="D174" s="13"/>
      <c r="E174" s="13"/>
      <c r="F174" s="13"/>
    </row>
    <row r="175" spans="4:6" ht="15.75" customHeight="1" x14ac:dyDescent="0.25">
      <c r="D175" s="13"/>
      <c r="E175" s="13"/>
      <c r="F175" s="13"/>
    </row>
    <row r="176" spans="4:6" ht="15.75" customHeight="1" x14ac:dyDescent="0.25">
      <c r="D176" s="13"/>
      <c r="E176" s="13"/>
      <c r="F176" s="13"/>
    </row>
    <row r="177" spans="4:6" ht="15.75" customHeight="1" x14ac:dyDescent="0.25">
      <c r="D177" s="13"/>
      <c r="E177" s="13"/>
      <c r="F177" s="13"/>
    </row>
    <row r="178" spans="4:6" ht="15.75" customHeight="1" x14ac:dyDescent="0.25">
      <c r="D178" s="13"/>
      <c r="E178" s="13"/>
      <c r="F178" s="13"/>
    </row>
    <row r="179" spans="4:6" ht="15.75" customHeight="1" x14ac:dyDescent="0.25">
      <c r="D179" s="13"/>
      <c r="E179" s="13"/>
      <c r="F179" s="13"/>
    </row>
    <row r="180" spans="4:6" ht="15.75" customHeight="1" x14ac:dyDescent="0.25">
      <c r="D180" s="13"/>
      <c r="E180" s="13"/>
      <c r="F180" s="13"/>
    </row>
    <row r="181" spans="4:6" ht="15.75" customHeight="1" x14ac:dyDescent="0.25">
      <c r="D181" s="13"/>
      <c r="E181" s="13"/>
      <c r="F181" s="13"/>
    </row>
    <row r="182" spans="4:6" ht="15.75" customHeight="1" x14ac:dyDescent="0.25">
      <c r="D182" s="13"/>
      <c r="E182" s="13"/>
      <c r="F182" s="13"/>
    </row>
    <row r="183" spans="4:6" ht="15.75" customHeight="1" x14ac:dyDescent="0.25">
      <c r="D183" s="13"/>
      <c r="E183" s="13"/>
      <c r="F183" s="13"/>
    </row>
    <row r="184" spans="4:6" ht="15.75" customHeight="1" x14ac:dyDescent="0.25">
      <c r="D184" s="13"/>
      <c r="E184" s="13"/>
      <c r="F184" s="13"/>
    </row>
    <row r="185" spans="4:6" ht="15.75" customHeight="1" x14ac:dyDescent="0.25">
      <c r="D185" s="13"/>
      <c r="E185" s="13"/>
      <c r="F185" s="13"/>
    </row>
    <row r="186" spans="4:6" ht="15.75" customHeight="1" x14ac:dyDescent="0.25">
      <c r="D186" s="13"/>
      <c r="E186" s="13"/>
      <c r="F186" s="13"/>
    </row>
    <row r="187" spans="4:6" ht="15.75" customHeight="1" x14ac:dyDescent="0.25">
      <c r="D187" s="13"/>
      <c r="E187" s="13"/>
      <c r="F187" s="13"/>
    </row>
    <row r="188" spans="4:6" ht="15.75" customHeight="1" x14ac:dyDescent="0.25">
      <c r="D188" s="13"/>
      <c r="E188" s="13"/>
      <c r="F188" s="13"/>
    </row>
    <row r="189" spans="4:6" ht="15.75" customHeight="1" x14ac:dyDescent="0.25">
      <c r="D189" s="13"/>
      <c r="E189" s="13"/>
      <c r="F189" s="13"/>
    </row>
    <row r="190" spans="4:6" ht="15.75" customHeight="1" x14ac:dyDescent="0.25">
      <c r="D190" s="13"/>
      <c r="E190" s="13"/>
      <c r="F190" s="13"/>
    </row>
    <row r="191" spans="4:6" ht="15.75" customHeight="1" x14ac:dyDescent="0.25">
      <c r="D191" s="13"/>
      <c r="E191" s="13"/>
      <c r="F191" s="13"/>
    </row>
    <row r="192" spans="4:6" ht="15.75" customHeight="1" x14ac:dyDescent="0.25">
      <c r="D192" s="13"/>
      <c r="E192" s="13"/>
      <c r="F192" s="13"/>
    </row>
    <row r="193" spans="4:6" ht="15.75" customHeight="1" x14ac:dyDescent="0.25">
      <c r="D193" s="13"/>
      <c r="E193" s="13"/>
      <c r="F193" s="13"/>
    </row>
    <row r="194" spans="4:6" ht="15.75" customHeight="1" x14ac:dyDescent="0.25">
      <c r="D194" s="13"/>
      <c r="E194" s="13"/>
      <c r="F194" s="13"/>
    </row>
    <row r="195" spans="4:6" ht="15.75" customHeight="1" x14ac:dyDescent="0.25">
      <c r="D195" s="13"/>
      <c r="E195" s="13"/>
      <c r="F195" s="13"/>
    </row>
    <row r="196" spans="4:6" ht="15.75" customHeight="1" x14ac:dyDescent="0.25">
      <c r="D196" s="13"/>
      <c r="E196" s="13"/>
      <c r="F196" s="13"/>
    </row>
    <row r="197" spans="4:6" ht="15.75" customHeight="1" x14ac:dyDescent="0.25">
      <c r="D197" s="13"/>
      <c r="E197" s="13"/>
      <c r="F197" s="13"/>
    </row>
    <row r="198" spans="4:6" ht="15.75" customHeight="1" x14ac:dyDescent="0.25">
      <c r="D198" s="13"/>
      <c r="E198" s="13"/>
      <c r="F198" s="13"/>
    </row>
    <row r="199" spans="4:6" ht="15.75" customHeight="1" x14ac:dyDescent="0.25">
      <c r="D199" s="13"/>
      <c r="E199" s="13"/>
      <c r="F199" s="13"/>
    </row>
    <row r="200" spans="4:6" ht="15.75" customHeight="1" x14ac:dyDescent="0.25">
      <c r="D200" s="13"/>
      <c r="E200" s="13"/>
      <c r="F200" s="13"/>
    </row>
    <row r="201" spans="4:6" ht="15.75" customHeight="1" x14ac:dyDescent="0.25">
      <c r="D201" s="13"/>
      <c r="E201" s="13"/>
      <c r="F201" s="13"/>
    </row>
    <row r="202" spans="4:6" ht="15.75" customHeight="1" x14ac:dyDescent="0.25">
      <c r="D202" s="13"/>
      <c r="E202" s="13"/>
      <c r="F202" s="13"/>
    </row>
    <row r="203" spans="4:6" ht="15.75" customHeight="1" x14ac:dyDescent="0.25">
      <c r="D203" s="13"/>
      <c r="E203" s="13"/>
      <c r="F203" s="13"/>
    </row>
    <row r="204" spans="4:6" ht="15.75" customHeight="1" x14ac:dyDescent="0.25">
      <c r="D204" s="13"/>
      <c r="E204" s="13"/>
      <c r="F204" s="13"/>
    </row>
    <row r="205" spans="4:6" ht="15.75" customHeight="1" x14ac:dyDescent="0.25">
      <c r="D205" s="13"/>
      <c r="E205" s="13"/>
      <c r="F205" s="13"/>
    </row>
    <row r="206" spans="4:6" ht="15.75" customHeight="1" x14ac:dyDescent="0.25">
      <c r="D206" s="13"/>
      <c r="E206" s="13"/>
      <c r="F206" s="13"/>
    </row>
    <row r="207" spans="4:6" ht="15.75" customHeight="1" x14ac:dyDescent="0.25">
      <c r="D207" s="13"/>
      <c r="E207" s="13"/>
      <c r="F207" s="13"/>
    </row>
    <row r="208" spans="4:6" ht="15.75" customHeight="1" x14ac:dyDescent="0.25">
      <c r="D208" s="13"/>
      <c r="E208" s="13"/>
      <c r="F208" s="13"/>
    </row>
    <row r="209" spans="4:6" ht="15.75" customHeight="1" x14ac:dyDescent="0.25">
      <c r="D209" s="13"/>
      <c r="E209" s="13"/>
      <c r="F209" s="13"/>
    </row>
    <row r="210" spans="4:6" ht="15.75" customHeight="1" x14ac:dyDescent="0.25">
      <c r="D210" s="13"/>
      <c r="E210" s="13"/>
      <c r="F210" s="13"/>
    </row>
    <row r="211" spans="4:6" ht="15.75" customHeight="1" x14ac:dyDescent="0.25">
      <c r="D211" s="13"/>
      <c r="E211" s="13"/>
      <c r="F211" s="13"/>
    </row>
    <row r="212" spans="4:6" ht="15.75" customHeight="1" x14ac:dyDescent="0.25">
      <c r="D212" s="13"/>
      <c r="E212" s="13"/>
      <c r="F212" s="13"/>
    </row>
    <row r="213" spans="4:6" ht="15.75" customHeight="1" x14ac:dyDescent="0.25">
      <c r="D213" s="13"/>
      <c r="E213" s="13"/>
      <c r="F213" s="13"/>
    </row>
    <row r="214" spans="4:6" ht="15.75" customHeight="1" x14ac:dyDescent="0.25">
      <c r="D214" s="13"/>
      <c r="E214" s="13"/>
      <c r="F214" s="13"/>
    </row>
    <row r="215" spans="4:6" ht="15.75" customHeight="1" x14ac:dyDescent="0.25">
      <c r="D215" s="13"/>
      <c r="E215" s="13"/>
      <c r="F215" s="13"/>
    </row>
    <row r="216" spans="4:6" ht="15.75" customHeight="1" x14ac:dyDescent="0.25">
      <c r="D216" s="13"/>
      <c r="E216" s="13"/>
      <c r="F216" s="13"/>
    </row>
    <row r="217" spans="4:6" ht="15.75" customHeight="1" x14ac:dyDescent="0.25">
      <c r="D217" s="13"/>
      <c r="E217" s="13"/>
      <c r="F217" s="13"/>
    </row>
    <row r="218" spans="4:6" ht="15.75" customHeight="1" x14ac:dyDescent="0.25">
      <c r="D218" s="13"/>
      <c r="E218" s="13"/>
      <c r="F218" s="13"/>
    </row>
    <row r="219" spans="4:6" ht="15.75" customHeight="1" x14ac:dyDescent="0.25">
      <c r="D219" s="13"/>
      <c r="E219" s="13"/>
      <c r="F219" s="13"/>
    </row>
    <row r="220" spans="4:6" ht="15.75" customHeight="1" x14ac:dyDescent="0.25">
      <c r="D220" s="13"/>
      <c r="E220" s="13"/>
      <c r="F220" s="13"/>
    </row>
    <row r="221" spans="4:6" ht="15.75" customHeight="1" x14ac:dyDescent="0.25">
      <c r="D221" s="13"/>
      <c r="E221" s="13"/>
      <c r="F221" s="13"/>
    </row>
    <row r="222" spans="4:6" ht="15.75" customHeight="1" x14ac:dyDescent="0.25">
      <c r="D222" s="13"/>
      <c r="E222" s="13"/>
      <c r="F222" s="13"/>
    </row>
    <row r="223" spans="4:6" ht="15.75" customHeight="1" x14ac:dyDescent="0.25">
      <c r="D223" s="13"/>
      <c r="E223" s="13"/>
      <c r="F223" s="13"/>
    </row>
    <row r="224" spans="4:6" ht="15.75" customHeight="1" x14ac:dyDescent="0.25">
      <c r="D224" s="13"/>
      <c r="E224" s="13"/>
      <c r="F224" s="13"/>
    </row>
    <row r="225" spans="4:6" ht="15.75" customHeight="1" x14ac:dyDescent="0.25">
      <c r="D225" s="13"/>
      <c r="E225" s="13"/>
      <c r="F225" s="13"/>
    </row>
    <row r="226" spans="4:6" ht="15.75" customHeight="1" x14ac:dyDescent="0.25">
      <c r="D226" s="13"/>
      <c r="E226" s="13"/>
      <c r="F226" s="13"/>
    </row>
    <row r="227" spans="4:6" ht="15.75" customHeight="1" x14ac:dyDescent="0.25">
      <c r="D227" s="13"/>
      <c r="E227" s="13"/>
      <c r="F227" s="13"/>
    </row>
    <row r="228" spans="4:6" ht="15.75" customHeight="1" x14ac:dyDescent="0.25">
      <c r="D228" s="13"/>
      <c r="E228" s="13"/>
      <c r="F228" s="13"/>
    </row>
    <row r="229" spans="4:6" ht="15.75" customHeight="1" x14ac:dyDescent="0.25">
      <c r="D229" s="13"/>
      <c r="E229" s="13"/>
      <c r="F229" s="13"/>
    </row>
    <row r="230" spans="4:6" ht="15.75" customHeight="1" x14ac:dyDescent="0.25">
      <c r="D230" s="13"/>
      <c r="E230" s="13"/>
      <c r="F230" s="13"/>
    </row>
    <row r="231" spans="4:6" ht="15.75" customHeight="1" x14ac:dyDescent="0.25">
      <c r="D231" s="13"/>
      <c r="E231" s="13"/>
      <c r="F231" s="13"/>
    </row>
    <row r="232" spans="4:6" ht="15.75" customHeight="1" x14ac:dyDescent="0.25">
      <c r="D232" s="13"/>
      <c r="E232" s="13"/>
      <c r="F232" s="13"/>
    </row>
    <row r="233" spans="4:6" ht="15.75" customHeight="1" x14ac:dyDescent="0.25">
      <c r="D233" s="13"/>
      <c r="E233" s="13"/>
      <c r="F233" s="13"/>
    </row>
    <row r="234" spans="4:6" ht="15.75" customHeight="1" x14ac:dyDescent="0.25">
      <c r="D234" s="13"/>
      <c r="E234" s="13"/>
      <c r="F234" s="13"/>
    </row>
    <row r="235" spans="4:6" ht="15.75" customHeight="1" x14ac:dyDescent="0.25">
      <c r="D235" s="13"/>
      <c r="E235" s="13"/>
      <c r="F235" s="13"/>
    </row>
    <row r="236" spans="4:6" ht="15.75" customHeight="1" x14ac:dyDescent="0.25">
      <c r="D236" s="13"/>
      <c r="E236" s="13"/>
      <c r="F236" s="13"/>
    </row>
    <row r="237" spans="4:6" ht="15.75" customHeight="1" x14ac:dyDescent="0.25">
      <c r="D237" s="13"/>
      <c r="E237" s="13"/>
      <c r="F237" s="13"/>
    </row>
    <row r="238" spans="4:6" ht="15.75" customHeight="1" x14ac:dyDescent="0.25">
      <c r="D238" s="13"/>
      <c r="E238" s="13"/>
      <c r="F238" s="13"/>
    </row>
    <row r="239" spans="4:6" ht="15.75" customHeight="1" x14ac:dyDescent="0.25">
      <c r="D239" s="13"/>
      <c r="E239" s="13"/>
      <c r="F239" s="13"/>
    </row>
    <row r="240" spans="4:6" ht="15.75" customHeight="1" x14ac:dyDescent="0.25">
      <c r="D240" s="13"/>
      <c r="E240" s="13"/>
      <c r="F240" s="13"/>
    </row>
    <row r="241" spans="4:6" ht="15.75" customHeight="1" x14ac:dyDescent="0.25">
      <c r="D241" s="13"/>
      <c r="E241" s="13"/>
      <c r="F241" s="13"/>
    </row>
    <row r="242" spans="4:6" ht="15.75" customHeight="1" x14ac:dyDescent="0.25">
      <c r="D242" s="13"/>
      <c r="E242" s="13"/>
      <c r="F242" s="13"/>
    </row>
    <row r="243" spans="4:6" ht="15.75" customHeight="1" x14ac:dyDescent="0.25">
      <c r="D243" s="13"/>
      <c r="E243" s="13"/>
      <c r="F243" s="13"/>
    </row>
    <row r="244" spans="4:6" ht="15.75" customHeight="1" x14ac:dyDescent="0.25">
      <c r="D244" s="13"/>
      <c r="E244" s="13"/>
      <c r="F244" s="13"/>
    </row>
    <row r="245" spans="4:6" ht="15.75" customHeight="1" x14ac:dyDescent="0.25">
      <c r="D245" s="13"/>
      <c r="E245" s="13"/>
      <c r="F245" s="13"/>
    </row>
    <row r="246" spans="4:6" ht="15.75" customHeight="1" x14ac:dyDescent="0.25">
      <c r="D246" s="13"/>
      <c r="E246" s="13"/>
      <c r="F246" s="13"/>
    </row>
    <row r="247" spans="4:6" ht="15.75" customHeight="1" x14ac:dyDescent="0.25">
      <c r="D247" s="13"/>
      <c r="E247" s="13"/>
      <c r="F247" s="13"/>
    </row>
    <row r="248" spans="4:6" ht="15.75" customHeight="1" x14ac:dyDescent="0.25">
      <c r="D248" s="13"/>
      <c r="E248" s="13"/>
      <c r="F248" s="13"/>
    </row>
    <row r="249" spans="4:6" ht="15.75" customHeight="1" x14ac:dyDescent="0.25">
      <c r="D249" s="13"/>
      <c r="E249" s="13"/>
      <c r="F249" s="13"/>
    </row>
    <row r="250" spans="4:6" ht="15.75" customHeight="1" x14ac:dyDescent="0.25">
      <c r="D250" s="13"/>
      <c r="E250" s="13"/>
      <c r="F250" s="13"/>
    </row>
    <row r="251" spans="4:6" ht="15.75" customHeight="1" x14ac:dyDescent="0.25">
      <c r="D251" s="13"/>
      <c r="E251" s="13"/>
      <c r="F251" s="13"/>
    </row>
    <row r="252" spans="4:6" ht="15.75" customHeight="1" x14ac:dyDescent="0.25">
      <c r="D252" s="13"/>
      <c r="E252" s="13"/>
      <c r="F252" s="13"/>
    </row>
    <row r="253" spans="4:6" ht="15.75" customHeight="1" x14ac:dyDescent="0.25">
      <c r="D253" s="13"/>
      <c r="E253" s="13"/>
      <c r="F253" s="13"/>
    </row>
    <row r="254" spans="4:6" ht="15.75" customHeight="1" x14ac:dyDescent="0.25">
      <c r="D254" s="13"/>
      <c r="E254" s="13"/>
      <c r="F254" s="13"/>
    </row>
    <row r="255" spans="4:6" ht="15.75" customHeight="1" x14ac:dyDescent="0.25">
      <c r="D255" s="13"/>
      <c r="E255" s="13"/>
      <c r="F255" s="13"/>
    </row>
    <row r="256" spans="4:6" ht="15.75" customHeight="1" x14ac:dyDescent="0.25">
      <c r="D256" s="13"/>
      <c r="E256" s="13"/>
      <c r="F256" s="13"/>
    </row>
    <row r="257" spans="4:6" ht="15.75" customHeight="1" x14ac:dyDescent="0.25">
      <c r="D257" s="13"/>
      <c r="E257" s="13"/>
      <c r="F257" s="13"/>
    </row>
    <row r="258" spans="4:6" ht="15.75" customHeight="1" x14ac:dyDescent="0.25">
      <c r="D258" s="13"/>
      <c r="E258" s="13"/>
      <c r="F258" s="13"/>
    </row>
    <row r="259" spans="4:6" ht="15.75" customHeight="1" x14ac:dyDescent="0.25">
      <c r="D259" s="13"/>
      <c r="E259" s="13"/>
      <c r="F259" s="13"/>
    </row>
    <row r="260" spans="4:6" ht="15.75" customHeight="1" x14ac:dyDescent="0.25">
      <c r="D260" s="13"/>
      <c r="E260" s="13"/>
      <c r="F260" s="13"/>
    </row>
    <row r="261" spans="4:6" ht="15.75" customHeight="1" x14ac:dyDescent="0.25">
      <c r="D261" s="13"/>
      <c r="E261" s="13"/>
      <c r="F261" s="13"/>
    </row>
    <row r="262" spans="4:6" ht="15.75" customHeight="1" x14ac:dyDescent="0.25">
      <c r="D262" s="13"/>
      <c r="E262" s="13"/>
      <c r="F262" s="13"/>
    </row>
    <row r="263" spans="4:6" ht="15.75" customHeight="1" x14ac:dyDescent="0.25">
      <c r="D263" s="13"/>
      <c r="E263" s="13"/>
      <c r="F263" s="13"/>
    </row>
    <row r="264" spans="4:6" ht="15.75" customHeight="1" x14ac:dyDescent="0.25">
      <c r="D264" s="13"/>
      <c r="E264" s="13"/>
      <c r="F264" s="13"/>
    </row>
    <row r="265" spans="4:6" ht="15.75" customHeight="1" x14ac:dyDescent="0.25">
      <c r="D265" s="13"/>
      <c r="E265" s="13"/>
      <c r="F265" s="13"/>
    </row>
    <row r="266" spans="4:6" ht="15.75" customHeight="1" x14ac:dyDescent="0.25">
      <c r="D266" s="13"/>
      <c r="E266" s="13"/>
      <c r="F266" s="13"/>
    </row>
    <row r="267" spans="4:6" ht="15.75" customHeight="1" x14ac:dyDescent="0.25">
      <c r="D267" s="13"/>
      <c r="E267" s="13"/>
      <c r="F267" s="13"/>
    </row>
    <row r="268" spans="4:6" ht="15.75" customHeight="1" x14ac:dyDescent="0.25">
      <c r="D268" s="13"/>
      <c r="E268" s="13"/>
      <c r="F268" s="13"/>
    </row>
    <row r="269" spans="4:6" ht="15.75" customHeight="1" x14ac:dyDescent="0.25">
      <c r="D269" s="13"/>
      <c r="E269" s="13"/>
      <c r="F269" s="13"/>
    </row>
    <row r="270" spans="4:6" ht="15.75" customHeight="1" x14ac:dyDescent="0.25">
      <c r="D270" s="13"/>
      <c r="E270" s="13"/>
      <c r="F270" s="13"/>
    </row>
    <row r="271" spans="4:6" ht="15.75" customHeight="1" x14ac:dyDescent="0.25">
      <c r="D271" s="13"/>
      <c r="E271" s="13"/>
      <c r="F271" s="13"/>
    </row>
    <row r="272" spans="4:6" ht="15.75" customHeight="1" x14ac:dyDescent="0.25">
      <c r="D272" s="13"/>
      <c r="E272" s="13"/>
      <c r="F272" s="13"/>
    </row>
    <row r="273" spans="4:6" ht="15.75" customHeight="1" x14ac:dyDescent="0.25">
      <c r="D273" s="13"/>
      <c r="E273" s="13"/>
      <c r="F273" s="13"/>
    </row>
    <row r="274" spans="4:6" ht="15.75" customHeight="1" x14ac:dyDescent="0.25">
      <c r="D274" s="13"/>
      <c r="E274" s="13"/>
      <c r="F274" s="13"/>
    </row>
    <row r="275" spans="4:6" ht="15.75" customHeight="1" x14ac:dyDescent="0.25">
      <c r="D275" s="13"/>
      <c r="E275" s="13"/>
      <c r="F275" s="13"/>
    </row>
    <row r="276" spans="4:6" ht="15.75" customHeight="1" x14ac:dyDescent="0.25">
      <c r="D276" s="13"/>
      <c r="E276" s="13"/>
      <c r="F276" s="13"/>
    </row>
    <row r="277" spans="4:6" ht="15.75" customHeight="1" x14ac:dyDescent="0.25">
      <c r="D277" s="13"/>
      <c r="E277" s="13"/>
      <c r="F277" s="13"/>
    </row>
    <row r="278" spans="4:6" ht="15.75" customHeight="1" x14ac:dyDescent="0.25">
      <c r="D278" s="13"/>
      <c r="E278" s="13"/>
      <c r="F278" s="13"/>
    </row>
    <row r="279" spans="4:6" ht="15.75" customHeight="1" x14ac:dyDescent="0.25">
      <c r="D279" s="13"/>
      <c r="E279" s="13"/>
      <c r="F279" s="13"/>
    </row>
    <row r="280" spans="4:6" ht="15.75" customHeight="1" x14ac:dyDescent="0.25">
      <c r="D280" s="13"/>
      <c r="E280" s="13"/>
      <c r="F280" s="13"/>
    </row>
    <row r="281" spans="4:6" ht="15.75" customHeight="1" x14ac:dyDescent="0.25">
      <c r="D281" s="13"/>
      <c r="E281" s="13"/>
      <c r="F281" s="13"/>
    </row>
    <row r="282" spans="4:6" ht="15.75" customHeight="1" x14ac:dyDescent="0.25">
      <c r="D282" s="13"/>
      <c r="E282" s="13"/>
      <c r="F282" s="13"/>
    </row>
    <row r="283" spans="4:6" ht="15.75" customHeight="1" x14ac:dyDescent="0.25">
      <c r="D283" s="13"/>
      <c r="E283" s="13"/>
      <c r="F283" s="13"/>
    </row>
    <row r="284" spans="4:6" ht="15.75" customHeight="1" x14ac:dyDescent="0.25">
      <c r="D284" s="13"/>
      <c r="E284" s="13"/>
      <c r="F284" s="13"/>
    </row>
    <row r="285" spans="4:6" ht="15.75" customHeight="1" x14ac:dyDescent="0.25">
      <c r="D285" s="13"/>
      <c r="E285" s="13"/>
      <c r="F285" s="13"/>
    </row>
    <row r="286" spans="4:6" ht="15.75" customHeight="1" x14ac:dyDescent="0.25">
      <c r="D286" s="13"/>
      <c r="E286" s="13"/>
      <c r="F286" s="13"/>
    </row>
    <row r="287" spans="4:6" ht="15.75" customHeight="1" x14ac:dyDescent="0.25">
      <c r="D287" s="13"/>
      <c r="E287" s="13"/>
      <c r="F287" s="13"/>
    </row>
    <row r="288" spans="4:6" ht="15.75" customHeight="1" x14ac:dyDescent="0.25">
      <c r="D288" s="13"/>
      <c r="E288" s="13"/>
      <c r="F288" s="13"/>
    </row>
    <row r="289" spans="4:6" ht="15.75" customHeight="1" x14ac:dyDescent="0.25">
      <c r="D289" s="13"/>
      <c r="E289" s="13"/>
      <c r="F289" s="13"/>
    </row>
    <row r="290" spans="4:6" ht="15.75" customHeight="1" x14ac:dyDescent="0.25">
      <c r="D290" s="13"/>
      <c r="E290" s="13"/>
      <c r="F290" s="13"/>
    </row>
    <row r="291" spans="4:6" ht="15.75" customHeight="1" x14ac:dyDescent="0.25">
      <c r="D291" s="13"/>
      <c r="E291" s="13"/>
      <c r="F291" s="13"/>
    </row>
    <row r="292" spans="4:6" ht="15.75" customHeight="1" x14ac:dyDescent="0.25">
      <c r="D292" s="13"/>
      <c r="E292" s="13"/>
      <c r="F292" s="13"/>
    </row>
    <row r="293" spans="4:6" ht="15.75" customHeight="1" x14ac:dyDescent="0.25">
      <c r="D293" s="13"/>
      <c r="E293" s="13"/>
      <c r="F293" s="13"/>
    </row>
    <row r="294" spans="4:6" ht="15.75" customHeight="1" x14ac:dyDescent="0.25">
      <c r="D294" s="13"/>
      <c r="E294" s="13"/>
      <c r="F294" s="13"/>
    </row>
    <row r="295" spans="4:6" ht="15.75" customHeight="1" x14ac:dyDescent="0.25">
      <c r="D295" s="13"/>
      <c r="E295" s="13"/>
      <c r="F295" s="13"/>
    </row>
    <row r="296" spans="4:6" ht="15.75" customHeight="1" x14ac:dyDescent="0.25">
      <c r="D296" s="13"/>
      <c r="E296" s="13"/>
      <c r="F296" s="13"/>
    </row>
    <row r="297" spans="4:6" ht="15.75" customHeight="1" x14ac:dyDescent="0.25">
      <c r="D297" s="13"/>
      <c r="E297" s="13"/>
      <c r="F297" s="13"/>
    </row>
    <row r="298" spans="4:6" ht="15.75" customHeight="1" x14ac:dyDescent="0.25">
      <c r="D298" s="13"/>
      <c r="E298" s="13"/>
      <c r="F298" s="13"/>
    </row>
    <row r="299" spans="4:6" ht="15.75" customHeight="1" x14ac:dyDescent="0.25">
      <c r="D299" s="13"/>
      <c r="E299" s="13"/>
      <c r="F299" s="13"/>
    </row>
    <row r="300" spans="4:6" ht="15.75" customHeight="1" x14ac:dyDescent="0.25">
      <c r="D300" s="13"/>
      <c r="E300" s="13"/>
      <c r="F300" s="13"/>
    </row>
    <row r="301" spans="4:6" ht="15.75" customHeight="1" x14ac:dyDescent="0.25">
      <c r="D301" s="13"/>
      <c r="E301" s="13"/>
      <c r="F301" s="13"/>
    </row>
    <row r="302" spans="4:6" ht="15.75" customHeight="1" x14ac:dyDescent="0.25">
      <c r="D302" s="13"/>
      <c r="E302" s="13"/>
      <c r="F302" s="13"/>
    </row>
    <row r="303" spans="4:6" ht="15.75" customHeight="1" x14ac:dyDescent="0.25">
      <c r="D303" s="13"/>
      <c r="E303" s="13"/>
      <c r="F303" s="13"/>
    </row>
    <row r="304" spans="4:6" ht="15.75" customHeight="1" x14ac:dyDescent="0.25">
      <c r="D304" s="13"/>
      <c r="E304" s="13"/>
      <c r="F304" s="13"/>
    </row>
    <row r="305" spans="4:6" ht="15.75" customHeight="1" x14ac:dyDescent="0.25">
      <c r="D305" s="13"/>
      <c r="E305" s="13"/>
      <c r="F305" s="13"/>
    </row>
    <row r="306" spans="4:6" ht="15.75" customHeight="1" x14ac:dyDescent="0.25">
      <c r="D306" s="13"/>
      <c r="E306" s="13"/>
      <c r="F306" s="13"/>
    </row>
    <row r="307" spans="4:6" ht="15.75" customHeight="1" x14ac:dyDescent="0.25">
      <c r="D307" s="13"/>
      <c r="E307" s="13"/>
      <c r="F307" s="13"/>
    </row>
    <row r="308" spans="4:6" ht="15.75" customHeight="1" x14ac:dyDescent="0.25">
      <c r="D308" s="13"/>
      <c r="E308" s="13"/>
      <c r="F308" s="13"/>
    </row>
    <row r="309" spans="4:6" ht="15.75" customHeight="1" x14ac:dyDescent="0.25">
      <c r="D309" s="13"/>
      <c r="E309" s="13"/>
      <c r="F309" s="13"/>
    </row>
    <row r="310" spans="4:6" ht="15.75" customHeight="1" x14ac:dyDescent="0.25">
      <c r="D310" s="13"/>
      <c r="E310" s="13"/>
      <c r="F310" s="13"/>
    </row>
    <row r="311" spans="4:6" ht="15.75" customHeight="1" x14ac:dyDescent="0.25">
      <c r="D311" s="13"/>
      <c r="E311" s="13"/>
      <c r="F311" s="13"/>
    </row>
    <row r="312" spans="4:6" ht="15.75" customHeight="1" x14ac:dyDescent="0.25">
      <c r="D312" s="13"/>
      <c r="E312" s="13"/>
      <c r="F312" s="13"/>
    </row>
    <row r="313" spans="4:6" ht="15.75" customHeight="1" x14ac:dyDescent="0.25">
      <c r="D313" s="13"/>
      <c r="E313" s="13"/>
      <c r="F313" s="13"/>
    </row>
    <row r="314" spans="4:6" ht="15.75" customHeight="1" x14ac:dyDescent="0.25">
      <c r="D314" s="13"/>
      <c r="E314" s="13"/>
      <c r="F314" s="13"/>
    </row>
    <row r="315" spans="4:6" ht="15.75" customHeight="1" x14ac:dyDescent="0.25">
      <c r="D315" s="13"/>
      <c r="E315" s="13"/>
      <c r="F315" s="13"/>
    </row>
    <row r="316" spans="4:6" ht="15.75" customHeight="1" x14ac:dyDescent="0.25">
      <c r="D316" s="13"/>
      <c r="E316" s="13"/>
      <c r="F316" s="13"/>
    </row>
  </sheetData>
  <mergeCells count="5">
    <mergeCell ref="C3:F3"/>
    <mergeCell ref="C5:F5"/>
    <mergeCell ref="C20:F20"/>
    <mergeCell ref="C38:F38"/>
    <mergeCell ref="C48:F48"/>
  </mergeCells>
  <hyperlinks>
    <hyperlink ref="I3" location="'Table of Content'!A1" display="Return to TOC" xr:uid="{815563FF-91BD-4C7C-8903-D1F18EF02C18}"/>
  </hyperlinks>
  <pageMargins left="0.2" right="0.2" top="0.25" bottom="0.25" header="0.3" footer="0.3"/>
  <pageSetup scale="60" orientation="landscape" verticalDpi="0" r:id="rId1"/>
  <ignoredErrors>
    <ignoredError sqref="D60:F60" formula="1"/>
    <ignoredError sqref="D13:F1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9B4C-C924-4E49-A95F-296DC95A5A81}">
  <sheetPr>
    <tabColor theme="8" tint="0.59999389629810485"/>
    <pageSetUpPr fitToPage="1"/>
  </sheetPr>
  <dimension ref="B1:P63"/>
  <sheetViews>
    <sheetView showGridLines="0" workbookViewId="0">
      <selection activeCell="C3" sqref="C3:I3"/>
    </sheetView>
  </sheetViews>
  <sheetFormatPr defaultColWidth="12.7109375" defaultRowHeight="15.75" customHeight="1" x14ac:dyDescent="0.25"/>
  <cols>
    <col min="1" max="2" width="2.7109375" style="1" customWidth="1"/>
    <col min="3" max="4" width="16.7109375" style="8" customWidth="1"/>
    <col min="5" max="9" width="16.7109375" style="1" customWidth="1"/>
    <col min="10" max="11" width="2.7109375" style="1" customWidth="1"/>
    <col min="12" max="12" width="15.7109375" style="1" customWidth="1"/>
    <col min="13" max="16384" width="12.7109375" style="1"/>
  </cols>
  <sheetData>
    <row r="1" spans="2:12" ht="15.75" customHeight="1" thickBot="1" x14ac:dyDescent="0.3"/>
    <row r="2" spans="2:12" ht="15.75" customHeight="1" x14ac:dyDescent="0.25">
      <c r="B2" s="28"/>
      <c r="C2" s="74"/>
      <c r="D2" s="74"/>
      <c r="E2" s="29"/>
      <c r="F2" s="29"/>
      <c r="G2" s="29"/>
      <c r="H2" s="29"/>
      <c r="I2" s="29"/>
      <c r="J2" s="30"/>
    </row>
    <row r="3" spans="2:12" ht="15.75" customHeight="1" x14ac:dyDescent="0.25">
      <c r="B3" s="31"/>
      <c r="C3" s="164" t="s">
        <v>106</v>
      </c>
      <c r="D3" s="164"/>
      <c r="E3" s="164"/>
      <c r="F3" s="164"/>
      <c r="G3" s="164"/>
      <c r="H3" s="164"/>
      <c r="I3" s="164"/>
      <c r="J3" s="32"/>
      <c r="L3" s="105" t="s">
        <v>107</v>
      </c>
    </row>
    <row r="4" spans="2:12" ht="15.75" customHeight="1" x14ac:dyDescent="0.25">
      <c r="B4" s="31"/>
      <c r="C4" s="63"/>
      <c r="D4" s="63"/>
      <c r="E4" s="4"/>
      <c r="F4" s="4"/>
      <c r="G4" s="4"/>
      <c r="H4" s="4"/>
      <c r="I4" s="4"/>
      <c r="J4" s="32"/>
    </row>
    <row r="5" spans="2:12" ht="15.75" customHeight="1" x14ac:dyDescent="0.25">
      <c r="B5" s="31"/>
      <c r="C5" s="167" t="s">
        <v>103</v>
      </c>
      <c r="D5" s="167"/>
      <c r="E5" s="4"/>
      <c r="F5" s="4"/>
      <c r="G5" s="4"/>
      <c r="H5" s="4"/>
      <c r="I5" s="4"/>
      <c r="J5" s="32"/>
      <c r="K5" s="58"/>
      <c r="L5" s="58"/>
    </row>
    <row r="6" spans="2:12" ht="15.75" customHeight="1" x14ac:dyDescent="0.25">
      <c r="B6" s="31"/>
      <c r="C6" s="26" t="s">
        <v>85</v>
      </c>
      <c r="D6" s="143">
        <v>0.25</v>
      </c>
      <c r="E6" s="4"/>
      <c r="F6" s="4"/>
      <c r="G6" s="4"/>
      <c r="H6" s="4"/>
      <c r="I6" s="4"/>
      <c r="J6" s="32"/>
    </row>
    <row r="7" spans="2:12" ht="15.75" customHeight="1" x14ac:dyDescent="0.25">
      <c r="B7" s="31"/>
      <c r="C7" s="26" t="s">
        <v>86</v>
      </c>
      <c r="D7" s="7"/>
      <c r="E7" s="4"/>
      <c r="F7" s="4"/>
      <c r="G7" s="4"/>
      <c r="H7" s="4"/>
      <c r="I7" s="4"/>
      <c r="J7" s="32"/>
    </row>
    <row r="8" spans="2:12" ht="15.75" customHeight="1" x14ac:dyDescent="0.25">
      <c r="B8" s="31"/>
      <c r="C8" s="27" t="s">
        <v>87</v>
      </c>
      <c r="D8" s="143">
        <v>0.21</v>
      </c>
      <c r="E8" s="4"/>
      <c r="F8" s="4"/>
      <c r="G8" s="4"/>
      <c r="H8" s="4"/>
      <c r="I8" s="4"/>
      <c r="J8" s="32"/>
    </row>
    <row r="9" spans="2:12" ht="15.75" customHeight="1" x14ac:dyDescent="0.25">
      <c r="B9" s="31"/>
      <c r="C9" s="27" t="s">
        <v>88</v>
      </c>
      <c r="D9" s="143">
        <v>0</v>
      </c>
      <c r="E9" s="4"/>
      <c r="F9" s="4"/>
      <c r="G9" s="4"/>
      <c r="H9" s="4"/>
      <c r="I9" s="4"/>
      <c r="J9" s="32"/>
    </row>
    <row r="10" spans="2:12" ht="15.75" customHeight="1" x14ac:dyDescent="0.25">
      <c r="B10" s="31"/>
      <c r="C10" s="27" t="s">
        <v>89</v>
      </c>
      <c r="D10" s="143">
        <v>0.12</v>
      </c>
      <c r="E10" s="4"/>
      <c r="F10" s="4"/>
      <c r="G10" s="4"/>
      <c r="H10" s="4"/>
      <c r="I10" s="4"/>
      <c r="J10" s="32"/>
    </row>
    <row r="11" spans="2:12" ht="15.75" customHeight="1" x14ac:dyDescent="0.25">
      <c r="B11" s="31"/>
      <c r="C11" s="26"/>
      <c r="D11" s="80"/>
      <c r="E11" s="4"/>
      <c r="F11" s="4"/>
      <c r="G11" s="4"/>
      <c r="H11" s="4"/>
      <c r="I11" s="4"/>
      <c r="J11" s="32"/>
    </row>
    <row r="12" spans="2:12" ht="15.75" customHeight="1" x14ac:dyDescent="0.25">
      <c r="B12" s="31"/>
      <c r="C12" s="167" t="s">
        <v>20</v>
      </c>
      <c r="D12" s="167"/>
      <c r="E12" s="4"/>
      <c r="F12" s="4"/>
      <c r="G12" s="4"/>
      <c r="H12" s="4"/>
      <c r="I12" s="4"/>
      <c r="J12" s="32"/>
    </row>
    <row r="13" spans="2:12" ht="15.75" customHeight="1" x14ac:dyDescent="0.25">
      <c r="B13" s="31"/>
      <c r="C13" s="26" t="s">
        <v>85</v>
      </c>
      <c r="D13" s="131">
        <v>5.3199999999999997E-2</v>
      </c>
      <c r="E13" s="4"/>
      <c r="F13" s="4"/>
      <c r="G13" s="4"/>
      <c r="H13" s="4"/>
      <c r="I13" s="4"/>
      <c r="J13" s="32"/>
    </row>
    <row r="14" spans="2:12" ht="15.75" customHeight="1" x14ac:dyDescent="0.25">
      <c r="B14" s="31"/>
      <c r="C14" s="26" t="s">
        <v>86</v>
      </c>
      <c r="D14" s="131">
        <v>4.5999999999999999E-2</v>
      </c>
      <c r="E14" s="4"/>
      <c r="F14" s="4"/>
      <c r="G14" s="4"/>
      <c r="H14" s="4"/>
      <c r="I14" s="4"/>
      <c r="J14" s="32"/>
    </row>
    <row r="15" spans="2:12" ht="15.75" customHeight="1" x14ac:dyDescent="0.25">
      <c r="B15" s="31"/>
      <c r="C15" s="63"/>
      <c r="D15" s="63"/>
      <c r="E15" s="4"/>
      <c r="F15" s="4"/>
      <c r="G15" s="4"/>
      <c r="H15" s="4"/>
      <c r="I15" s="4"/>
      <c r="J15" s="32"/>
    </row>
    <row r="16" spans="2:12" ht="15.75" customHeight="1" x14ac:dyDescent="0.25">
      <c r="B16" s="31"/>
      <c r="C16" s="167" t="s">
        <v>104</v>
      </c>
      <c r="D16" s="167"/>
      <c r="E16" s="4"/>
      <c r="F16" s="4"/>
      <c r="G16" s="4"/>
      <c r="H16" s="4"/>
      <c r="I16" s="4"/>
      <c r="J16" s="32"/>
      <c r="K16" s="13"/>
    </row>
    <row r="17" spans="2:12" ht="15.75" customHeight="1" x14ac:dyDescent="0.25">
      <c r="B17" s="31"/>
      <c r="C17" s="26" t="s">
        <v>105</v>
      </c>
      <c r="D17" s="144">
        <v>1.0840000000000001</v>
      </c>
      <c r="E17" s="4"/>
      <c r="F17" s="4"/>
      <c r="G17" s="4"/>
      <c r="H17" s="4"/>
      <c r="I17" s="4"/>
      <c r="J17" s="32"/>
    </row>
    <row r="18" spans="2:12" ht="15.75" customHeight="1" x14ac:dyDescent="0.25">
      <c r="B18" s="31"/>
      <c r="C18" s="63"/>
      <c r="D18" s="63"/>
      <c r="E18" s="4"/>
      <c r="F18" s="4"/>
      <c r="G18" s="4"/>
      <c r="H18" s="4"/>
      <c r="I18" s="4"/>
      <c r="J18" s="32"/>
    </row>
    <row r="19" spans="2:12" ht="15.75" customHeight="1" x14ac:dyDescent="0.25">
      <c r="B19" s="31"/>
      <c r="C19" s="167" t="s">
        <v>162</v>
      </c>
      <c r="D19" s="167"/>
      <c r="E19" s="89"/>
      <c r="F19" s="89"/>
      <c r="G19" s="89"/>
      <c r="H19" s="89"/>
      <c r="I19" s="89"/>
      <c r="J19" s="32"/>
    </row>
    <row r="20" spans="2:12" ht="15.75" customHeight="1" x14ac:dyDescent="0.25">
      <c r="B20" s="31"/>
      <c r="C20" s="63"/>
      <c r="D20" s="63"/>
      <c r="E20" s="4"/>
      <c r="F20" s="4"/>
      <c r="G20" s="4"/>
      <c r="H20" s="4"/>
      <c r="I20" s="4"/>
      <c r="J20" s="32"/>
    </row>
    <row r="21" spans="2:12" s="6" customFormat="1" ht="15.75" customHeight="1" x14ac:dyDescent="0.25">
      <c r="B21" s="33"/>
      <c r="C21" s="85" t="s">
        <v>16</v>
      </c>
      <c r="D21" s="53" t="s">
        <v>62</v>
      </c>
      <c r="E21" s="10"/>
      <c r="F21" s="10"/>
      <c r="G21" s="10"/>
      <c r="H21" s="10"/>
      <c r="I21" s="10"/>
      <c r="J21" s="34"/>
      <c r="K21" s="1"/>
      <c r="L21" s="1"/>
    </row>
    <row r="22" spans="2:12" ht="15.75" customHeight="1" x14ac:dyDescent="0.25">
      <c r="B22" s="31"/>
      <c r="C22" s="54" t="s">
        <v>21</v>
      </c>
      <c r="D22" s="145">
        <v>3.8350000000000002E-2</v>
      </c>
      <c r="E22" s="4"/>
      <c r="F22" s="4"/>
      <c r="G22" s="4"/>
      <c r="H22" s="4"/>
      <c r="I22" s="4"/>
      <c r="J22" s="32"/>
    </row>
    <row r="23" spans="2:12" ht="15.75" customHeight="1" x14ac:dyDescent="0.25">
      <c r="B23" s="31"/>
      <c r="C23" s="54" t="s">
        <v>22</v>
      </c>
      <c r="D23" s="145">
        <v>3.8559999999999997E-2</v>
      </c>
      <c r="E23" s="4"/>
      <c r="F23" s="4"/>
      <c r="G23" s="4"/>
      <c r="H23" s="4"/>
      <c r="I23" s="4"/>
      <c r="J23" s="32"/>
    </row>
    <row r="24" spans="2:12" ht="15.75" customHeight="1" x14ac:dyDescent="0.25">
      <c r="B24" s="31"/>
      <c r="C24" s="54" t="s">
        <v>23</v>
      </c>
      <c r="D24" s="145">
        <v>3.7909999999999999E-2</v>
      </c>
      <c r="E24" s="4"/>
      <c r="F24" s="4"/>
      <c r="G24" s="4"/>
      <c r="H24" s="4"/>
      <c r="I24" s="4"/>
      <c r="J24" s="32"/>
    </row>
    <row r="25" spans="2:12" ht="15.75" customHeight="1" x14ac:dyDescent="0.25">
      <c r="B25" s="31"/>
      <c r="C25" s="54" t="s">
        <v>24</v>
      </c>
      <c r="D25" s="145">
        <v>3.6679999999999997E-2</v>
      </c>
      <c r="E25" s="4"/>
      <c r="F25" s="4"/>
      <c r="G25" s="4"/>
      <c r="H25" s="4"/>
      <c r="I25" s="4"/>
      <c r="J25" s="32"/>
    </row>
    <row r="26" spans="2:12" ht="15.75" customHeight="1" x14ac:dyDescent="0.25">
      <c r="B26" s="31"/>
      <c r="C26" s="54" t="s">
        <v>25</v>
      </c>
      <c r="D26" s="145">
        <v>3.5389999999999998E-2</v>
      </c>
      <c r="E26" s="4"/>
      <c r="F26" s="4"/>
      <c r="G26" s="4"/>
      <c r="H26" s="4"/>
      <c r="I26" s="4"/>
      <c r="J26" s="32"/>
    </row>
    <row r="27" spans="2:12" ht="15.75" customHeight="1" x14ac:dyDescent="0.25">
      <c r="B27" s="31"/>
      <c r="C27" s="54" t="s">
        <v>26</v>
      </c>
      <c r="D27" s="145">
        <v>2.9700000000000001E-2</v>
      </c>
      <c r="E27" s="4"/>
      <c r="F27" s="4"/>
      <c r="G27" s="4"/>
      <c r="H27" s="4"/>
      <c r="I27" s="4"/>
      <c r="J27" s="32"/>
    </row>
    <row r="28" spans="2:12" ht="15.75" customHeight="1" x14ac:dyDescent="0.25">
      <c r="B28" s="31"/>
      <c r="C28" s="54" t="s">
        <v>27</v>
      </c>
      <c r="D28" s="145">
        <v>2.7859999999999999E-2</v>
      </c>
      <c r="E28" s="4"/>
      <c r="F28" s="4"/>
      <c r="G28" s="4"/>
      <c r="H28" s="4"/>
      <c r="I28" s="4"/>
      <c r="J28" s="32"/>
    </row>
    <row r="29" spans="2:12" ht="15.75" customHeight="1" x14ac:dyDescent="0.25">
      <c r="B29" s="31"/>
      <c r="C29" s="54" t="s">
        <v>28</v>
      </c>
      <c r="D29" s="145">
        <v>2.7220000000000001E-2</v>
      </c>
      <c r="E29" s="4"/>
      <c r="F29" s="4"/>
      <c r="G29" s="4"/>
      <c r="H29" s="4"/>
      <c r="I29" s="4"/>
      <c r="J29" s="32"/>
    </row>
    <row r="30" spans="2:12" ht="15.75" customHeight="1" x14ac:dyDescent="0.25">
      <c r="B30" s="31"/>
      <c r="C30" s="54" t="s">
        <v>29</v>
      </c>
      <c r="D30" s="145">
        <v>2.726E-2</v>
      </c>
      <c r="E30" s="4"/>
      <c r="F30" s="4"/>
      <c r="G30" s="4"/>
      <c r="H30" s="4"/>
      <c r="I30" s="4"/>
      <c r="J30" s="32"/>
    </row>
    <row r="31" spans="2:12" ht="15.75" customHeight="1" x14ac:dyDescent="0.25">
      <c r="B31" s="31"/>
      <c r="C31" s="54" t="s">
        <v>30</v>
      </c>
      <c r="D31" s="145">
        <v>2.6960000000000001E-2</v>
      </c>
      <c r="E31" s="4"/>
      <c r="F31" s="4"/>
      <c r="G31" s="4"/>
      <c r="H31" s="4"/>
      <c r="I31" s="4"/>
      <c r="J31" s="32"/>
    </row>
    <row r="32" spans="2:12" ht="15.75" customHeight="1" x14ac:dyDescent="0.25">
      <c r="B32" s="31"/>
      <c r="C32" s="54" t="s">
        <v>31</v>
      </c>
      <c r="D32" s="145">
        <v>2.7192999999999998E-2</v>
      </c>
      <c r="E32" s="4"/>
      <c r="F32" s="4"/>
      <c r="G32" s="4"/>
      <c r="H32" s="4"/>
      <c r="I32" s="4"/>
      <c r="J32" s="32"/>
    </row>
    <row r="33" spans="2:16" ht="15.75" customHeight="1" x14ac:dyDescent="0.25">
      <c r="B33" s="31"/>
      <c r="C33" s="54" t="s">
        <v>32</v>
      </c>
      <c r="D33" s="145">
        <v>2.7550000000000002E-2</v>
      </c>
      <c r="E33" s="4"/>
      <c r="F33" s="4"/>
      <c r="G33" s="4"/>
      <c r="H33" s="4"/>
      <c r="I33" s="4"/>
      <c r="J33" s="32"/>
    </row>
    <row r="34" spans="2:16" ht="15.75" customHeight="1" x14ac:dyDescent="0.25">
      <c r="B34" s="31"/>
      <c r="C34" s="54" t="s">
        <v>33</v>
      </c>
      <c r="D34" s="145">
        <v>2.8080000000000001E-2</v>
      </c>
      <c r="E34" s="4"/>
      <c r="F34" s="4"/>
      <c r="G34" s="4"/>
      <c r="H34" s="4"/>
      <c r="I34" s="4"/>
      <c r="J34" s="32"/>
    </row>
    <row r="35" spans="2:16" ht="15.75" customHeight="1" x14ac:dyDescent="0.25">
      <c r="B35" s="31"/>
      <c r="C35" s="54" t="s">
        <v>34</v>
      </c>
      <c r="D35" s="145">
        <v>2.8799999999999999E-2</v>
      </c>
      <c r="E35" s="4"/>
      <c r="F35" s="4"/>
      <c r="G35" s="4"/>
      <c r="H35" s="4"/>
      <c r="I35" s="4"/>
      <c r="J35" s="32"/>
    </row>
    <row r="36" spans="2:16" ht="15.75" customHeight="1" x14ac:dyDescent="0.25">
      <c r="B36" s="31"/>
      <c r="C36" s="54" t="s">
        <v>35</v>
      </c>
      <c r="D36" s="145">
        <v>3.0980000000000001E-2</v>
      </c>
      <c r="E36" s="4"/>
      <c r="F36" s="4"/>
      <c r="G36" s="4"/>
      <c r="H36" s="4"/>
      <c r="I36" s="4"/>
      <c r="J36" s="32"/>
    </row>
    <row r="37" spans="2:16" ht="15.75" customHeight="1" x14ac:dyDescent="0.25">
      <c r="B37" s="31"/>
      <c r="C37" s="54" t="s">
        <v>36</v>
      </c>
      <c r="D37" s="145">
        <v>3.2460000000000003E-2</v>
      </c>
      <c r="E37" s="4"/>
      <c r="F37" s="4"/>
      <c r="G37" s="4"/>
      <c r="H37" s="4"/>
      <c r="I37" s="4"/>
      <c r="J37" s="32"/>
    </row>
    <row r="38" spans="2:16" ht="15.75" customHeight="1" x14ac:dyDescent="0.25">
      <c r="B38" s="31"/>
      <c r="C38" s="54" t="s">
        <v>37</v>
      </c>
      <c r="D38" s="145">
        <v>3.2599999999999997E-2</v>
      </c>
      <c r="E38" s="4"/>
      <c r="F38" s="4"/>
      <c r="G38" s="4"/>
      <c r="H38" s="4"/>
      <c r="I38" s="4"/>
      <c r="J38" s="32"/>
    </row>
    <row r="39" spans="2:16" ht="15.75" customHeight="1" x14ac:dyDescent="0.25">
      <c r="B39" s="31"/>
      <c r="C39" s="54" t="s">
        <v>38</v>
      </c>
      <c r="D39" s="145">
        <v>3.3270000000000001E-2</v>
      </c>
      <c r="E39" s="4"/>
      <c r="F39" s="4"/>
      <c r="G39" s="4"/>
      <c r="H39" s="4"/>
      <c r="I39" s="4"/>
      <c r="J39" s="32"/>
    </row>
    <row r="40" spans="2:16" ht="15.75" customHeight="1" x14ac:dyDescent="0.25">
      <c r="B40" s="31"/>
      <c r="C40" s="63"/>
      <c r="D40" s="63"/>
      <c r="E40" s="4"/>
      <c r="F40" s="4"/>
      <c r="G40" s="4"/>
      <c r="H40" s="4"/>
      <c r="I40" s="4"/>
      <c r="J40" s="32"/>
    </row>
    <row r="41" spans="2:16" ht="15.75" customHeight="1" x14ac:dyDescent="0.25">
      <c r="B41" s="31"/>
      <c r="C41" s="168" t="s">
        <v>84</v>
      </c>
      <c r="D41" s="168"/>
      <c r="E41" s="168"/>
      <c r="F41" s="168"/>
      <c r="G41" s="168"/>
      <c r="H41" s="168"/>
      <c r="I41" s="168"/>
      <c r="J41" s="32"/>
    </row>
    <row r="42" spans="2:16" ht="15.75" customHeight="1" x14ac:dyDescent="0.25">
      <c r="B42" s="31"/>
      <c r="C42" s="63"/>
      <c r="D42" s="63"/>
      <c r="E42" s="4"/>
      <c r="F42" s="4"/>
      <c r="G42" s="4"/>
      <c r="H42" s="4"/>
      <c r="I42" s="4"/>
      <c r="J42" s="32"/>
    </row>
    <row r="43" spans="2:16" ht="15.75" customHeight="1" x14ac:dyDescent="0.25">
      <c r="B43" s="31"/>
      <c r="C43" s="85" t="s">
        <v>16</v>
      </c>
      <c r="D43" s="79" t="s">
        <v>39</v>
      </c>
      <c r="E43" s="79" t="s">
        <v>83</v>
      </c>
      <c r="F43" s="79" t="s">
        <v>40</v>
      </c>
      <c r="G43" s="79" t="s">
        <v>41</v>
      </c>
      <c r="H43" s="79" t="s">
        <v>42</v>
      </c>
      <c r="I43" s="79" t="s">
        <v>43</v>
      </c>
      <c r="J43" s="75"/>
      <c r="N43" s="73"/>
      <c r="O43" s="73"/>
      <c r="P43" s="73"/>
    </row>
    <row r="44" spans="2:16" ht="15.75" customHeight="1" x14ac:dyDescent="0.25">
      <c r="B44" s="31"/>
      <c r="C44" s="54" t="s">
        <v>22</v>
      </c>
      <c r="D44" s="146">
        <v>1.3000000000000008E-3</v>
      </c>
      <c r="E44" s="146">
        <v>2.3E-3</v>
      </c>
      <c r="F44" s="146">
        <v>3.1000000000000003E-3</v>
      </c>
      <c r="G44" s="146">
        <v>4.5000000000000005E-3</v>
      </c>
      <c r="H44" s="146">
        <v>1.7899999999999999E-2</v>
      </c>
      <c r="I44" s="146">
        <v>2.4999999999999998E-2</v>
      </c>
      <c r="J44" s="32"/>
    </row>
    <row r="45" spans="2:16" ht="15.75" customHeight="1" x14ac:dyDescent="0.25">
      <c r="B45" s="31"/>
      <c r="C45" s="54" t="s">
        <v>23</v>
      </c>
      <c r="D45" s="146">
        <v>6.9999999999999923E-4</v>
      </c>
      <c r="E45" s="146">
        <v>1.7000000000000001E-3</v>
      </c>
      <c r="F45" s="146">
        <v>2.5000000000000005E-3</v>
      </c>
      <c r="G45" s="146">
        <v>3.9000000000000007E-3</v>
      </c>
      <c r="H45" s="146">
        <v>1.77E-2</v>
      </c>
      <c r="I45" s="146">
        <v>2.5100000000000004E-2</v>
      </c>
      <c r="J45" s="32"/>
    </row>
    <row r="46" spans="2:16" ht="15.75" customHeight="1" x14ac:dyDescent="0.25">
      <c r="B46" s="31"/>
      <c r="C46" s="54" t="s">
        <v>25</v>
      </c>
      <c r="D46" s="146">
        <v>8.0000000000000036E-4</v>
      </c>
      <c r="E46" s="146">
        <v>1.7000000000000019E-3</v>
      </c>
      <c r="F46" s="146">
        <v>2.5999999999999999E-3</v>
      </c>
      <c r="G46" s="146">
        <v>4.0000000000000018E-3</v>
      </c>
      <c r="H46" s="146">
        <v>1.8599999999999998E-2</v>
      </c>
      <c r="I46" s="146">
        <v>2.6699999999999995E-2</v>
      </c>
      <c r="J46" s="32"/>
    </row>
    <row r="47" spans="2:16" ht="15.75" customHeight="1" x14ac:dyDescent="0.25">
      <c r="B47" s="31"/>
      <c r="C47" s="54" t="s">
        <v>26</v>
      </c>
      <c r="D47" s="146">
        <v>1.6999999999999984E-3</v>
      </c>
      <c r="E47" s="146">
        <v>2.5999999999999981E-3</v>
      </c>
      <c r="F47" s="146">
        <v>3.4999999999999996E-3</v>
      </c>
      <c r="G47" s="146">
        <v>4.8999999999999981E-3</v>
      </c>
      <c r="H47" s="146">
        <v>2.1000000000000001E-2</v>
      </c>
      <c r="I47" s="146">
        <v>3.0399999999999993E-2</v>
      </c>
      <c r="J47" s="32"/>
    </row>
    <row r="48" spans="2:16" ht="15.75" customHeight="1" x14ac:dyDescent="0.25">
      <c r="B48" s="31"/>
      <c r="C48" s="54" t="s">
        <v>27</v>
      </c>
      <c r="D48" s="146">
        <v>2.8999999999999998E-3</v>
      </c>
      <c r="E48" s="146">
        <v>3.7999999999999978E-3</v>
      </c>
      <c r="F48" s="146">
        <v>4.6999999999999993E-3</v>
      </c>
      <c r="G48" s="146">
        <v>6.0999999999999978E-3</v>
      </c>
      <c r="H48" s="146">
        <v>2.3599999999999996E-2</v>
      </c>
      <c r="I48" s="146">
        <v>3.4299999999999997E-2</v>
      </c>
      <c r="J48" s="32"/>
    </row>
    <row r="49" spans="2:10" ht="15.75" customHeight="1" x14ac:dyDescent="0.25">
      <c r="B49" s="31"/>
      <c r="C49" s="54" t="s">
        <v>29</v>
      </c>
      <c r="D49" s="146">
        <v>5.3999999999999986E-3</v>
      </c>
      <c r="E49" s="146">
        <v>6.3999999999999994E-3</v>
      </c>
      <c r="F49" s="146">
        <v>7.2999999999999975E-3</v>
      </c>
      <c r="G49" s="146">
        <v>8.5999999999999965E-3</v>
      </c>
      <c r="H49" s="146">
        <v>2.87E-2</v>
      </c>
      <c r="I49" s="146">
        <v>4.1700000000000001E-2</v>
      </c>
      <c r="J49" s="32"/>
    </row>
    <row r="50" spans="2:10" ht="15.75" customHeight="1" x14ac:dyDescent="0.25">
      <c r="B50" s="31"/>
      <c r="C50" s="54" t="s">
        <v>31</v>
      </c>
      <c r="D50" s="146">
        <v>6.1000000000000013E-3</v>
      </c>
      <c r="E50" s="146">
        <v>7.1000000000000021E-3</v>
      </c>
      <c r="F50" s="146">
        <v>8.0000000000000002E-3</v>
      </c>
      <c r="G50" s="146">
        <v>9.4000000000000021E-3</v>
      </c>
      <c r="H50" s="146">
        <v>3.1600000000000003E-2</v>
      </c>
      <c r="I50" s="146">
        <v>4.6700000000000005E-2</v>
      </c>
      <c r="J50" s="32"/>
    </row>
    <row r="51" spans="2:10" ht="15.75" customHeight="1" x14ac:dyDescent="0.25">
      <c r="B51" s="31"/>
      <c r="C51" s="54" t="s">
        <v>34</v>
      </c>
      <c r="D51" s="146">
        <v>9.0000000000000011E-3</v>
      </c>
      <c r="E51" s="146">
        <v>9.9000000000000025E-3</v>
      </c>
      <c r="F51" s="146">
        <v>1.0800000000000001E-2</v>
      </c>
      <c r="G51" s="146">
        <v>1.2200000000000006E-2</v>
      </c>
      <c r="H51" s="146">
        <v>3.7199999999999997E-2</v>
      </c>
      <c r="I51" s="146">
        <v>5.4699999999999999E-2</v>
      </c>
      <c r="J51" s="32"/>
    </row>
    <row r="52" spans="2:10" ht="15.75" customHeight="1" x14ac:dyDescent="0.25">
      <c r="B52" s="31"/>
      <c r="C52" s="54" t="s">
        <v>36</v>
      </c>
      <c r="D52" s="146">
        <v>1.3900000000000003E-2</v>
      </c>
      <c r="E52" s="146">
        <v>1.4800000000000001E-2</v>
      </c>
      <c r="F52" s="146">
        <v>1.5699999999999999E-2</v>
      </c>
      <c r="G52" s="146">
        <v>1.7099999999999997E-2</v>
      </c>
      <c r="H52" s="146">
        <v>4.6900000000000004E-2</v>
      </c>
      <c r="I52" s="146">
        <v>6.88E-2</v>
      </c>
      <c r="J52" s="32"/>
    </row>
    <row r="53" spans="2:10" ht="15.75" customHeight="1" x14ac:dyDescent="0.25">
      <c r="B53" s="31"/>
      <c r="C53" s="54" t="s">
        <v>38</v>
      </c>
      <c r="D53" s="146">
        <v>1.1199999999999995E-2</v>
      </c>
      <c r="E53" s="146">
        <v>1.2200000000000003E-2</v>
      </c>
      <c r="F53" s="146">
        <v>1.3100000000000001E-2</v>
      </c>
      <c r="G53" s="146">
        <v>1.4499999999999999E-2</v>
      </c>
      <c r="H53" s="146">
        <v>4.5199999999999997E-2</v>
      </c>
      <c r="I53" s="146">
        <v>6.7799999999999999E-2</v>
      </c>
      <c r="J53" s="32"/>
    </row>
    <row r="54" spans="2:10" ht="15.75" customHeight="1" thickBot="1" x14ac:dyDescent="0.3">
      <c r="B54" s="35"/>
      <c r="C54" s="76"/>
      <c r="D54" s="76"/>
      <c r="E54" s="36"/>
      <c r="F54" s="36"/>
      <c r="G54" s="36"/>
      <c r="H54" s="36"/>
      <c r="I54" s="36"/>
      <c r="J54" s="38"/>
    </row>
    <row r="60" spans="2:10" ht="15.75" customHeight="1" x14ac:dyDescent="0.25">
      <c r="C60" s="1"/>
      <c r="D60" s="1"/>
    </row>
    <row r="61" spans="2:10" ht="15.75" customHeight="1" x14ac:dyDescent="0.25">
      <c r="C61" s="1"/>
      <c r="D61" s="1"/>
    </row>
    <row r="62" spans="2:10" ht="15.75" customHeight="1" x14ac:dyDescent="0.25">
      <c r="C62" s="1"/>
      <c r="D62" s="1"/>
    </row>
    <row r="63" spans="2:10" ht="15.75" customHeight="1" x14ac:dyDescent="0.25">
      <c r="C63" s="1"/>
      <c r="D63" s="1"/>
    </row>
  </sheetData>
  <mergeCells count="6">
    <mergeCell ref="C3:I3"/>
    <mergeCell ref="C41:I41"/>
    <mergeCell ref="C12:D12"/>
    <mergeCell ref="C5:D5"/>
    <mergeCell ref="C16:D16"/>
    <mergeCell ref="C19:D19"/>
  </mergeCells>
  <hyperlinks>
    <hyperlink ref="L3" location="'Table of Content'!A1" display="Return to TOC" xr:uid="{61E663AD-8E29-4C4B-B5F8-3947058D73E0}"/>
  </hyperlinks>
  <pageMargins left="0.2" right="0.2" top="0.25" bottom="0.25" header="0.3" footer="0.3"/>
  <pageSetup scale="71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BDF4-4248-4EB4-ABC3-DD7BA1745CAD}">
  <sheetPr>
    <tabColor theme="8" tint="0.59999389629810485"/>
  </sheetPr>
  <dimension ref="B1:H18"/>
  <sheetViews>
    <sheetView showGridLines="0" workbookViewId="0">
      <selection activeCell="C3" sqref="C3:E3"/>
    </sheetView>
  </sheetViews>
  <sheetFormatPr defaultColWidth="12.5703125" defaultRowHeight="15.75" customHeight="1" x14ac:dyDescent="0.25"/>
  <cols>
    <col min="1" max="2" width="2.7109375" style="1" customWidth="1"/>
    <col min="3" max="3" width="20.7109375" style="83" customWidth="1"/>
    <col min="4" max="5" width="20.7109375" style="1" customWidth="1"/>
    <col min="6" max="7" width="2.7109375" style="1" customWidth="1"/>
    <col min="8" max="8" width="15.7109375" style="1" customWidth="1"/>
    <col min="9" max="16384" width="12.5703125" style="1"/>
  </cols>
  <sheetData>
    <row r="1" spans="2:8" ht="15.75" customHeight="1" thickBot="1" x14ac:dyDescent="0.3"/>
    <row r="2" spans="2:8" ht="15.75" customHeight="1" x14ac:dyDescent="0.25">
      <c r="B2" s="28"/>
      <c r="C2" s="84"/>
      <c r="D2" s="29"/>
      <c r="E2" s="29"/>
      <c r="F2" s="30"/>
    </row>
    <row r="3" spans="2:8" ht="15.75" customHeight="1" x14ac:dyDescent="0.25">
      <c r="B3" s="31"/>
      <c r="C3" s="164" t="s">
        <v>167</v>
      </c>
      <c r="D3" s="164"/>
      <c r="E3" s="164"/>
      <c r="F3" s="32"/>
      <c r="H3" s="105" t="s">
        <v>107</v>
      </c>
    </row>
    <row r="4" spans="2:8" ht="15.75" customHeight="1" x14ac:dyDescent="0.25">
      <c r="B4" s="31"/>
      <c r="C4" s="54"/>
      <c r="D4" s="4"/>
      <c r="E4" s="4"/>
      <c r="F4" s="32"/>
    </row>
    <row r="5" spans="2:8" s="58" customFormat="1" ht="15.75" customHeight="1" x14ac:dyDescent="0.25">
      <c r="B5" s="56"/>
      <c r="C5" s="85" t="s">
        <v>102</v>
      </c>
      <c r="D5" s="53" t="s">
        <v>90</v>
      </c>
      <c r="E5" s="53" t="s">
        <v>91</v>
      </c>
      <c r="F5" s="57"/>
    </row>
    <row r="6" spans="2:8" ht="15.75" customHeight="1" x14ac:dyDescent="0.25">
      <c r="B6" s="31"/>
      <c r="C6" s="54" t="s">
        <v>100</v>
      </c>
      <c r="D6" s="147">
        <v>0.24</v>
      </c>
      <c r="E6" s="148">
        <v>0.72</v>
      </c>
      <c r="F6" s="32"/>
    </row>
    <row r="7" spans="2:8" ht="15.75" customHeight="1" x14ac:dyDescent="0.25">
      <c r="B7" s="31"/>
      <c r="C7" s="54" t="s">
        <v>97</v>
      </c>
      <c r="D7" s="147">
        <v>0.22</v>
      </c>
      <c r="E7" s="148">
        <v>1.06</v>
      </c>
      <c r="F7" s="32"/>
    </row>
    <row r="8" spans="2:8" ht="15.75" customHeight="1" x14ac:dyDescent="0.25">
      <c r="B8" s="31"/>
      <c r="C8" s="54" t="s">
        <v>101</v>
      </c>
      <c r="D8" s="147">
        <v>0.31</v>
      </c>
      <c r="E8" s="148">
        <v>0.96</v>
      </c>
      <c r="F8" s="32"/>
    </row>
    <row r="9" spans="2:8" ht="15.75" customHeight="1" x14ac:dyDescent="0.25">
      <c r="B9" s="31"/>
      <c r="C9" s="54" t="s">
        <v>94</v>
      </c>
      <c r="D9" s="147">
        <v>0.16</v>
      </c>
      <c r="E9" s="148">
        <v>0.12</v>
      </c>
      <c r="F9" s="32"/>
    </row>
    <row r="10" spans="2:8" ht="15.75" customHeight="1" x14ac:dyDescent="0.25">
      <c r="B10" s="31"/>
      <c r="C10" s="54" t="s">
        <v>95</v>
      </c>
      <c r="D10" s="147">
        <v>0.2</v>
      </c>
      <c r="E10" s="148">
        <v>0.21</v>
      </c>
      <c r="F10" s="32"/>
    </row>
    <row r="11" spans="2:8" ht="15.75" customHeight="1" x14ac:dyDescent="0.25">
      <c r="B11" s="31"/>
      <c r="C11" s="54" t="s">
        <v>98</v>
      </c>
      <c r="D11" s="147">
        <v>0.17</v>
      </c>
      <c r="E11" s="148">
        <v>0.92</v>
      </c>
      <c r="F11" s="32"/>
    </row>
    <row r="12" spans="2:8" ht="15.75" customHeight="1" x14ac:dyDescent="0.25">
      <c r="B12" s="31"/>
      <c r="C12" s="54" t="s">
        <v>93</v>
      </c>
      <c r="D12" s="147">
        <v>0.31</v>
      </c>
      <c r="E12" s="148">
        <v>1.34</v>
      </c>
      <c r="F12" s="32"/>
    </row>
    <row r="13" spans="2:8" ht="15.75" customHeight="1" x14ac:dyDescent="0.25">
      <c r="B13" s="31"/>
      <c r="C13" s="54" t="s">
        <v>99</v>
      </c>
      <c r="D13" s="147">
        <v>0.24</v>
      </c>
      <c r="E13" s="148">
        <v>0.27</v>
      </c>
      <c r="F13" s="32"/>
    </row>
    <row r="14" spans="2:8" ht="15.75" customHeight="1" x14ac:dyDescent="0.25">
      <c r="B14" s="31"/>
      <c r="C14" s="54" t="s">
        <v>96</v>
      </c>
      <c r="D14" s="147">
        <v>0.19</v>
      </c>
      <c r="E14" s="148">
        <v>0.98</v>
      </c>
      <c r="F14" s="32"/>
    </row>
    <row r="15" spans="2:8" ht="15.75" customHeight="1" x14ac:dyDescent="0.25">
      <c r="B15" s="31"/>
      <c r="C15" s="88" t="s">
        <v>92</v>
      </c>
      <c r="D15" s="149">
        <v>0.25</v>
      </c>
      <c r="E15" s="150">
        <v>0.61</v>
      </c>
      <c r="F15" s="32"/>
    </row>
    <row r="16" spans="2:8" ht="15.75" customHeight="1" thickBot="1" x14ac:dyDescent="0.3">
      <c r="B16" s="35"/>
      <c r="C16" s="86"/>
      <c r="D16" s="36"/>
      <c r="E16" s="36"/>
      <c r="F16" s="38"/>
    </row>
    <row r="18" spans="7:7" ht="15.75" customHeight="1" x14ac:dyDescent="0.25">
      <c r="G18" s="13"/>
    </row>
  </sheetData>
  <sortState ref="C6:E15">
    <sortCondition ref="C6:C15"/>
  </sortState>
  <mergeCells count="1">
    <mergeCell ref="C3:E3"/>
  </mergeCells>
  <hyperlinks>
    <hyperlink ref="H3" location="'Table of Content'!A1" display="Return to TOC" xr:uid="{BB364CB8-FF19-401C-AC92-8921AD1AB944}"/>
  </hyperlinks>
  <pageMargins left="0.2" right="0.2" top="0.25" bottom="0.2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F793-EDA7-4DF4-A9FF-DAB097711914}">
  <sheetPr>
    <tabColor theme="9" tint="0.59999389629810485"/>
  </sheetPr>
  <dimension ref="B1:G27"/>
  <sheetViews>
    <sheetView showGridLines="0" workbookViewId="0">
      <selection activeCell="C3" sqref="C3:D3"/>
    </sheetView>
  </sheetViews>
  <sheetFormatPr defaultColWidth="12.7109375" defaultRowHeight="15.75" customHeight="1" x14ac:dyDescent="0.25"/>
  <cols>
    <col min="1" max="2" width="2.7109375" style="1" customWidth="1"/>
    <col min="3" max="3" width="40.7109375" style="1" customWidth="1"/>
    <col min="4" max="4" width="20.7109375" style="1" customWidth="1"/>
    <col min="5" max="6" width="2.7109375" style="1" customWidth="1"/>
    <col min="7" max="7" width="15.7109375" style="1" customWidth="1"/>
    <col min="8" max="16384" width="12.7109375" style="1"/>
  </cols>
  <sheetData>
    <row r="1" spans="2:7" ht="15.75" customHeight="1" thickBot="1" x14ac:dyDescent="0.3"/>
    <row r="2" spans="2:7" ht="15.75" customHeight="1" x14ac:dyDescent="0.25">
      <c r="B2" s="28"/>
      <c r="C2" s="29"/>
      <c r="D2" s="29"/>
      <c r="E2" s="30"/>
    </row>
    <row r="3" spans="2:7" ht="15.75" customHeight="1" x14ac:dyDescent="0.25">
      <c r="B3" s="31"/>
      <c r="C3" s="164" t="s">
        <v>156</v>
      </c>
      <c r="D3" s="164"/>
      <c r="E3" s="32"/>
      <c r="G3" s="105" t="s">
        <v>107</v>
      </c>
    </row>
    <row r="4" spans="2:7" ht="15.75" customHeight="1" x14ac:dyDescent="0.25">
      <c r="B4" s="31"/>
      <c r="C4" s="4"/>
      <c r="D4" s="4"/>
      <c r="E4" s="32"/>
    </row>
    <row r="5" spans="2:7" ht="15.75" customHeight="1" x14ac:dyDescent="0.25">
      <c r="B5" s="31"/>
      <c r="C5" s="167" t="s">
        <v>130</v>
      </c>
      <c r="D5" s="167"/>
      <c r="E5" s="32"/>
      <c r="F5" s="58"/>
      <c r="G5" s="58"/>
    </row>
    <row r="6" spans="2:7" ht="15.75" customHeight="1" x14ac:dyDescent="0.25">
      <c r="B6" s="31"/>
      <c r="C6" s="4"/>
      <c r="D6" s="4"/>
      <c r="E6" s="32"/>
    </row>
    <row r="7" spans="2:7" ht="15.75" customHeight="1" x14ac:dyDescent="0.25">
      <c r="B7" s="31"/>
      <c r="C7" s="127" t="s">
        <v>59</v>
      </c>
      <c r="D7" s="151">
        <f>'Appendix 1'!D33</f>
        <v>74353</v>
      </c>
      <c r="E7" s="32"/>
    </row>
    <row r="8" spans="2:7" ht="15.75" customHeight="1" x14ac:dyDescent="0.25">
      <c r="B8" s="31"/>
      <c r="C8" s="127"/>
      <c r="D8" s="127"/>
      <c r="E8" s="32"/>
    </row>
    <row r="9" spans="2:7" ht="15.75" customHeight="1" x14ac:dyDescent="0.25">
      <c r="B9" s="31"/>
      <c r="C9" s="129" t="s">
        <v>131</v>
      </c>
      <c r="D9" s="152">
        <v>93.36</v>
      </c>
      <c r="E9" s="32"/>
    </row>
    <row r="10" spans="2:7" ht="15.75" customHeight="1" x14ac:dyDescent="0.25">
      <c r="B10" s="31"/>
      <c r="C10" s="129" t="s">
        <v>132</v>
      </c>
      <c r="D10" s="153">
        <v>1265</v>
      </c>
      <c r="E10" s="32"/>
    </row>
    <row r="11" spans="2:7" ht="15.75" customHeight="1" x14ac:dyDescent="0.25">
      <c r="B11" s="31"/>
      <c r="C11" s="127" t="s">
        <v>133</v>
      </c>
      <c r="D11" s="151">
        <f>D9*D10</f>
        <v>118100.4</v>
      </c>
      <c r="E11" s="32"/>
    </row>
    <row r="12" spans="2:7" ht="15.75" customHeight="1" x14ac:dyDescent="0.25">
      <c r="B12" s="31"/>
      <c r="C12" s="127"/>
      <c r="D12" s="127"/>
      <c r="E12" s="32"/>
    </row>
    <row r="13" spans="2:7" ht="15.75" customHeight="1" x14ac:dyDescent="0.25">
      <c r="B13" s="31"/>
      <c r="C13" s="168" t="s">
        <v>159</v>
      </c>
      <c r="D13" s="168"/>
      <c r="E13" s="32"/>
    </row>
    <row r="14" spans="2:7" ht="15.75" customHeight="1" x14ac:dyDescent="0.25">
      <c r="B14" s="31"/>
      <c r="C14" s="127"/>
      <c r="D14" s="127"/>
      <c r="E14" s="32"/>
    </row>
    <row r="15" spans="2:7" ht="15.75" customHeight="1" x14ac:dyDescent="0.25">
      <c r="B15" s="31"/>
      <c r="C15" s="95" t="s">
        <v>135</v>
      </c>
      <c r="D15" s="152">
        <f>'Exhibit 3'!F6</f>
        <v>3.76</v>
      </c>
      <c r="E15" s="32"/>
    </row>
    <row r="16" spans="2:7" ht="15.75" customHeight="1" x14ac:dyDescent="0.25">
      <c r="B16" s="31"/>
      <c r="C16" s="95" t="s">
        <v>131</v>
      </c>
      <c r="D16" s="154">
        <f>D9</f>
        <v>93.36</v>
      </c>
      <c r="E16" s="32"/>
      <c r="F16" s="13"/>
    </row>
    <row r="17" spans="2:5" ht="15.75" customHeight="1" x14ac:dyDescent="0.25">
      <c r="B17" s="31"/>
      <c r="C17" s="129" t="s">
        <v>134</v>
      </c>
      <c r="D17" s="155">
        <f>D15/D16</f>
        <v>4.0274207369323051E-2</v>
      </c>
      <c r="E17" s="32"/>
    </row>
    <row r="18" spans="2:5" ht="15.75" customHeight="1" x14ac:dyDescent="0.25">
      <c r="B18" s="31"/>
      <c r="C18" s="129" t="s">
        <v>137</v>
      </c>
      <c r="D18" s="156">
        <f>AVERAGE('Exhibit 3'!G6:G20)</f>
        <v>3.6633446501025131E-2</v>
      </c>
      <c r="E18" s="32"/>
    </row>
    <row r="19" spans="2:5" ht="15.75" customHeight="1" x14ac:dyDescent="0.25">
      <c r="B19" s="31"/>
      <c r="C19" s="127" t="s">
        <v>136</v>
      </c>
      <c r="D19" s="157">
        <f>D17+D18</f>
        <v>7.6907653870348175E-2</v>
      </c>
      <c r="E19" s="32"/>
    </row>
    <row r="20" spans="2:5" ht="15.75" customHeight="1" x14ac:dyDescent="0.25">
      <c r="B20" s="31"/>
      <c r="C20" s="127"/>
      <c r="D20" s="127"/>
      <c r="E20" s="32"/>
    </row>
    <row r="21" spans="2:5" ht="15.75" customHeight="1" x14ac:dyDescent="0.25">
      <c r="B21" s="31"/>
      <c r="C21" s="168" t="s">
        <v>160</v>
      </c>
      <c r="D21" s="168"/>
      <c r="E21" s="32"/>
    </row>
    <row r="22" spans="2:5" ht="15.75" customHeight="1" x14ac:dyDescent="0.25">
      <c r="B22" s="31"/>
      <c r="C22" s="127"/>
      <c r="D22" s="127"/>
      <c r="E22" s="32"/>
    </row>
    <row r="23" spans="2:5" ht="15.75" customHeight="1" x14ac:dyDescent="0.25">
      <c r="B23" s="31"/>
      <c r="C23" s="129" t="s">
        <v>138</v>
      </c>
      <c r="D23" s="157">
        <f>'Appendix 2'!D39</f>
        <v>3.3270000000000001E-2</v>
      </c>
      <c r="E23" s="32"/>
    </row>
    <row r="24" spans="2:5" ht="15.75" customHeight="1" x14ac:dyDescent="0.25">
      <c r="B24" s="31"/>
      <c r="C24" s="129" t="s">
        <v>91</v>
      </c>
      <c r="D24" s="158">
        <f>'Appendix 3'!E15</f>
        <v>0.61</v>
      </c>
      <c r="E24" s="32"/>
    </row>
    <row r="25" spans="2:5" ht="15.75" customHeight="1" x14ac:dyDescent="0.25">
      <c r="B25" s="31"/>
      <c r="C25" s="129" t="s">
        <v>20</v>
      </c>
      <c r="D25" s="156">
        <f>'Appendix 2'!D13</f>
        <v>5.3199999999999997E-2</v>
      </c>
      <c r="E25" s="32"/>
    </row>
    <row r="26" spans="2:5" ht="15.75" customHeight="1" x14ac:dyDescent="0.25">
      <c r="B26" s="31"/>
      <c r="C26" s="127" t="s">
        <v>136</v>
      </c>
      <c r="D26" s="157">
        <f>D23+D24*D25</f>
        <v>6.5722000000000003E-2</v>
      </c>
      <c r="E26" s="32"/>
    </row>
    <row r="27" spans="2:5" ht="15.75" customHeight="1" thickBot="1" x14ac:dyDescent="0.3">
      <c r="B27" s="35"/>
      <c r="C27" s="36"/>
      <c r="D27" s="36"/>
      <c r="E27" s="38"/>
    </row>
  </sheetData>
  <mergeCells count="4">
    <mergeCell ref="C3:D3"/>
    <mergeCell ref="C5:D5"/>
    <mergeCell ref="C13:D13"/>
    <mergeCell ref="C21:D21"/>
  </mergeCells>
  <hyperlinks>
    <hyperlink ref="G3" location="'Table of Content'!A1" display="Return to TOC" xr:uid="{CF27B821-5613-4A11-9F3D-548A3129B96B}"/>
  </hyperlinks>
  <pageMargins left="0.2" right="0.2" top="0.25" bottom="0.2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C18A-501B-4BF2-BE5D-72885BED28F9}">
  <sheetPr>
    <tabColor theme="9" tint="0.59999389629810485"/>
  </sheetPr>
  <dimension ref="B1:G16"/>
  <sheetViews>
    <sheetView showGridLines="0" workbookViewId="0">
      <selection activeCell="C3" sqref="C3:D3"/>
    </sheetView>
  </sheetViews>
  <sheetFormatPr defaultColWidth="12.7109375" defaultRowHeight="15.75" customHeight="1" x14ac:dyDescent="0.25"/>
  <cols>
    <col min="1" max="2" width="2.7109375" style="1" customWidth="1"/>
    <col min="3" max="3" width="40.7109375" style="1" customWidth="1"/>
    <col min="4" max="4" width="20.7109375" style="1" customWidth="1"/>
    <col min="5" max="6" width="2.7109375" style="1" customWidth="1"/>
    <col min="7" max="7" width="15.7109375" style="1" customWidth="1"/>
    <col min="8" max="16384" width="12.7109375" style="1"/>
  </cols>
  <sheetData>
    <row r="1" spans="2:7" ht="15.75" customHeight="1" thickBot="1" x14ac:dyDescent="0.3"/>
    <row r="2" spans="2:7" ht="15.75" customHeight="1" x14ac:dyDescent="0.25">
      <c r="B2" s="28"/>
      <c r="C2" s="29"/>
      <c r="D2" s="29"/>
      <c r="E2" s="30"/>
    </row>
    <row r="3" spans="2:7" ht="15.75" customHeight="1" x14ac:dyDescent="0.25">
      <c r="B3" s="31"/>
      <c r="C3" s="164" t="s">
        <v>157</v>
      </c>
      <c r="D3" s="164"/>
      <c r="E3" s="32"/>
      <c r="G3" s="105" t="s">
        <v>107</v>
      </c>
    </row>
    <row r="4" spans="2:7" ht="15.75" customHeight="1" x14ac:dyDescent="0.25">
      <c r="B4" s="31"/>
      <c r="C4" s="4"/>
      <c r="D4" s="4"/>
      <c r="E4" s="32"/>
    </row>
    <row r="5" spans="2:7" ht="15.75" customHeight="1" x14ac:dyDescent="0.25">
      <c r="B5" s="31"/>
      <c r="C5" s="167" t="s">
        <v>139</v>
      </c>
      <c r="D5" s="167"/>
      <c r="E5" s="32"/>
      <c r="F5" s="58"/>
      <c r="G5" s="58"/>
    </row>
    <row r="6" spans="2:7" ht="15.75" customHeight="1" x14ac:dyDescent="0.25">
      <c r="B6" s="31"/>
      <c r="C6" s="4"/>
      <c r="D6" s="4"/>
      <c r="E6" s="32"/>
    </row>
    <row r="7" spans="2:7" ht="15.75" customHeight="1" x14ac:dyDescent="0.25">
      <c r="B7" s="31"/>
      <c r="C7" s="127" t="s">
        <v>123</v>
      </c>
      <c r="D7" s="151">
        <f>'Appendix 1'!D31</f>
        <v>16392</v>
      </c>
      <c r="E7" s="32"/>
    </row>
    <row r="8" spans="2:7" ht="15.75" customHeight="1" x14ac:dyDescent="0.25">
      <c r="B8" s="31"/>
      <c r="C8" s="127"/>
      <c r="D8" s="128"/>
      <c r="E8" s="32"/>
    </row>
    <row r="9" spans="2:7" ht="15.75" customHeight="1" x14ac:dyDescent="0.25">
      <c r="B9" s="31"/>
      <c r="C9" s="127" t="s">
        <v>143</v>
      </c>
      <c r="D9" s="151">
        <f>'Exhibit 4'!F22+'Exhibit 4'!F27/'Appendix 2'!D17+'Exhibit 4'!E32+'Exhibit 4'!E33/'Appendix 2'!D17+'Exhibit 4'!E38+'Exhibit 4'!E39</f>
        <v>17446.018450184503</v>
      </c>
      <c r="E9" s="32"/>
    </row>
    <row r="10" spans="2:7" ht="15.75" customHeight="1" x14ac:dyDescent="0.25">
      <c r="B10" s="31"/>
      <c r="C10" s="127"/>
      <c r="D10" s="127"/>
      <c r="E10" s="32"/>
    </row>
    <row r="11" spans="2:7" ht="15.75" customHeight="1" x14ac:dyDescent="0.25">
      <c r="B11" s="31"/>
      <c r="C11" s="168" t="s">
        <v>163</v>
      </c>
      <c r="D11" s="168"/>
      <c r="E11" s="32"/>
    </row>
    <row r="12" spans="2:7" ht="15.75" customHeight="1" x14ac:dyDescent="0.25">
      <c r="B12" s="31"/>
      <c r="C12" s="127"/>
      <c r="D12" s="127"/>
      <c r="E12" s="32"/>
    </row>
    <row r="13" spans="2:7" ht="15.75" customHeight="1" x14ac:dyDescent="0.25">
      <c r="B13" s="31"/>
      <c r="C13" s="129" t="s">
        <v>140</v>
      </c>
      <c r="D13" s="155">
        <f>'Appendix 2'!D39+'Appendix 2'!E53</f>
        <v>4.5470000000000003E-2</v>
      </c>
      <c r="E13" s="32"/>
    </row>
    <row r="14" spans="2:7" ht="15.75" customHeight="1" x14ac:dyDescent="0.25">
      <c r="B14" s="31"/>
      <c r="C14" s="129" t="s">
        <v>47</v>
      </c>
      <c r="D14" s="156">
        <f>1-'Appendix 1'!D60</f>
        <v>0.24507199776317634</v>
      </c>
      <c r="E14" s="32"/>
    </row>
    <row r="15" spans="2:7" ht="15.75" customHeight="1" x14ac:dyDescent="0.25">
      <c r="B15" s="31"/>
      <c r="C15" s="127" t="s">
        <v>141</v>
      </c>
      <c r="D15" s="157">
        <f>D13*(1-D14)</f>
        <v>3.4326576261708375E-2</v>
      </c>
      <c r="E15" s="32"/>
    </row>
    <row r="16" spans="2:7" ht="15.75" customHeight="1" thickBot="1" x14ac:dyDescent="0.3">
      <c r="B16" s="35"/>
      <c r="C16" s="36"/>
      <c r="D16" s="36"/>
      <c r="E16" s="38"/>
    </row>
  </sheetData>
  <mergeCells count="3">
    <mergeCell ref="C3:D3"/>
    <mergeCell ref="C5:D5"/>
    <mergeCell ref="C11:D11"/>
  </mergeCells>
  <hyperlinks>
    <hyperlink ref="G3" location="'Table of Content'!A1" display="Return to TOC" xr:uid="{A02BAA68-614F-484E-B420-9DA6381E8E46}"/>
  </hyperlinks>
  <pageMargins left="0.2" right="0.2" top="0.25" bottom="0.2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549A9-E19A-4E31-8B9A-255ECFDABDCA}">
  <sheetPr>
    <tabColor theme="9" tint="0.59999389629810485"/>
    <pageSetUpPr fitToPage="1"/>
  </sheetPr>
  <dimension ref="B1:K45"/>
  <sheetViews>
    <sheetView showGridLines="0" workbookViewId="0">
      <selection activeCell="C3" sqref="C3:H3"/>
    </sheetView>
  </sheetViews>
  <sheetFormatPr defaultColWidth="12.7109375" defaultRowHeight="15.75" customHeight="1" x14ac:dyDescent="0.25"/>
  <cols>
    <col min="1" max="2" width="2.7109375" style="1" customWidth="1"/>
    <col min="3" max="8" width="15.7109375" style="1" customWidth="1"/>
    <col min="9" max="10" width="2.7109375" style="1" customWidth="1"/>
    <col min="11" max="11" width="15.7109375" style="1" customWidth="1"/>
    <col min="12" max="16384" width="12.7109375" style="1"/>
  </cols>
  <sheetData>
    <row r="1" spans="2:11" ht="15.75" customHeight="1" thickBot="1" x14ac:dyDescent="0.3"/>
    <row r="2" spans="2:11" ht="15.75" customHeight="1" x14ac:dyDescent="0.25">
      <c r="B2" s="28"/>
      <c r="C2" s="29"/>
      <c r="D2" s="29"/>
      <c r="E2" s="29"/>
      <c r="F2" s="29"/>
      <c r="G2" s="29"/>
      <c r="H2" s="29"/>
      <c r="I2" s="30"/>
    </row>
    <row r="3" spans="2:11" ht="15.75" customHeight="1" x14ac:dyDescent="0.25">
      <c r="B3" s="31"/>
      <c r="C3" s="164" t="s">
        <v>158</v>
      </c>
      <c r="D3" s="164"/>
      <c r="E3" s="164"/>
      <c r="F3" s="164"/>
      <c r="G3" s="164"/>
      <c r="H3" s="164"/>
      <c r="I3" s="32"/>
      <c r="K3" s="105" t="s">
        <v>107</v>
      </c>
    </row>
    <row r="4" spans="2:11" ht="15.75" customHeight="1" x14ac:dyDescent="0.25">
      <c r="B4" s="31"/>
      <c r="C4" s="4"/>
      <c r="D4" s="4"/>
      <c r="E4" s="4"/>
      <c r="F4" s="4"/>
      <c r="G4" s="4"/>
      <c r="H4" s="4"/>
      <c r="I4" s="32"/>
    </row>
    <row r="5" spans="2:11" ht="15.75" customHeight="1" x14ac:dyDescent="0.25">
      <c r="B5" s="31"/>
      <c r="C5" s="167" t="s">
        <v>147</v>
      </c>
      <c r="D5" s="167"/>
      <c r="E5" s="167"/>
      <c r="F5" s="167"/>
      <c r="G5" s="4"/>
      <c r="H5" s="4"/>
      <c r="I5" s="32"/>
      <c r="J5" s="58"/>
      <c r="K5" s="58"/>
    </row>
    <row r="6" spans="2:11" ht="15.75" customHeight="1" x14ac:dyDescent="0.25">
      <c r="B6" s="31"/>
      <c r="C6" s="4"/>
      <c r="D6" s="4"/>
      <c r="E6" s="4"/>
      <c r="F6" s="4"/>
      <c r="G6" s="4"/>
      <c r="H6" s="4"/>
      <c r="I6" s="32"/>
    </row>
    <row r="7" spans="2:11" s="179" customFormat="1" ht="31.5" customHeight="1" x14ac:dyDescent="0.25">
      <c r="B7" s="175"/>
      <c r="C7" s="176"/>
      <c r="D7" s="107" t="s">
        <v>145</v>
      </c>
      <c r="E7" s="107" t="s">
        <v>19</v>
      </c>
      <c r="F7" s="107" t="s">
        <v>128</v>
      </c>
      <c r="G7" s="177"/>
      <c r="H7" s="177"/>
      <c r="I7" s="178"/>
    </row>
    <row r="8" spans="2:11" ht="15.75" customHeight="1" x14ac:dyDescent="0.25">
      <c r="B8" s="31"/>
      <c r="C8" s="26" t="s">
        <v>44</v>
      </c>
      <c r="D8" s="159">
        <f>Debt!D9</f>
        <v>17446.018450184503</v>
      </c>
      <c r="E8" s="161">
        <f>D8/$D$10</f>
        <v>0.12870881170937171</v>
      </c>
      <c r="F8" s="162">
        <f>Debt!D15</f>
        <v>3.4326576261708375E-2</v>
      </c>
      <c r="G8" s="4"/>
      <c r="H8" s="4"/>
      <c r="I8" s="32"/>
    </row>
    <row r="9" spans="2:11" ht="15.75" customHeight="1" x14ac:dyDescent="0.25">
      <c r="B9" s="31"/>
      <c r="C9" s="26" t="s">
        <v>45</v>
      </c>
      <c r="D9" s="160">
        <f>Equity!D11</f>
        <v>118100.4</v>
      </c>
      <c r="E9" s="161">
        <f>D9/$D$10</f>
        <v>0.87129118829062835</v>
      </c>
      <c r="F9" s="162">
        <f>Equity!D26</f>
        <v>6.5722000000000003E-2</v>
      </c>
      <c r="G9" s="4"/>
      <c r="H9" s="4"/>
      <c r="I9" s="32"/>
    </row>
    <row r="10" spans="2:11" ht="15.75" customHeight="1" x14ac:dyDescent="0.25">
      <c r="B10" s="31"/>
      <c r="C10" s="4" t="s">
        <v>129</v>
      </c>
      <c r="D10" s="159">
        <f>SUM(D8:D9)</f>
        <v>135546.41845018449</v>
      </c>
      <c r="E10" s="11"/>
      <c r="F10" s="3"/>
      <c r="G10" s="4"/>
      <c r="H10" s="4"/>
      <c r="I10" s="32"/>
    </row>
    <row r="11" spans="2:11" ht="15.75" customHeight="1" x14ac:dyDescent="0.25">
      <c r="B11" s="31"/>
      <c r="C11" s="4"/>
      <c r="D11" s="4"/>
      <c r="E11" s="4"/>
      <c r="F11" s="4"/>
      <c r="G11" s="4"/>
      <c r="H11" s="4"/>
      <c r="I11" s="32"/>
    </row>
    <row r="12" spans="2:11" ht="15.75" customHeight="1" x14ac:dyDescent="0.25">
      <c r="B12" s="31"/>
      <c r="C12" s="10" t="s">
        <v>46</v>
      </c>
      <c r="D12" s="163">
        <f>E8*F8+E9*F9</f>
        <v>6.1681132317532292E-2</v>
      </c>
      <c r="E12" s="4"/>
      <c r="F12" s="4"/>
      <c r="G12" s="4"/>
      <c r="H12" s="4"/>
      <c r="I12" s="32"/>
    </row>
    <row r="13" spans="2:11" ht="15.75" customHeight="1" x14ac:dyDescent="0.25">
      <c r="B13" s="31"/>
      <c r="C13" s="4"/>
      <c r="D13" s="4"/>
      <c r="E13" s="4"/>
      <c r="F13" s="4"/>
      <c r="G13" s="4"/>
      <c r="H13" s="4"/>
      <c r="I13" s="32"/>
    </row>
    <row r="14" spans="2:11" ht="15.75" customHeight="1" x14ac:dyDescent="0.25">
      <c r="B14" s="31"/>
      <c r="C14" s="167" t="s">
        <v>148</v>
      </c>
      <c r="D14" s="167"/>
      <c r="E14" s="167"/>
      <c r="F14" s="167"/>
      <c r="G14" s="167"/>
      <c r="H14" s="167"/>
      <c r="I14" s="32"/>
    </row>
    <row r="15" spans="2:11" ht="15.75" customHeight="1" x14ac:dyDescent="0.25">
      <c r="B15" s="31"/>
      <c r="C15" s="4"/>
      <c r="D15" s="4"/>
      <c r="E15" s="4"/>
      <c r="F15" s="4"/>
      <c r="G15" s="4"/>
      <c r="H15" s="4"/>
      <c r="I15" s="32"/>
    </row>
    <row r="16" spans="2:11" ht="15.75" hidden="1" customHeight="1" x14ac:dyDescent="0.25">
      <c r="B16" s="31"/>
      <c r="C16" s="26" t="s">
        <v>91</v>
      </c>
      <c r="D16" s="109">
        <v>0.61</v>
      </c>
      <c r="E16" s="109"/>
      <c r="F16" s="4"/>
      <c r="G16" s="4"/>
      <c r="H16" s="4"/>
      <c r="I16" s="32"/>
    </row>
    <row r="17" spans="2:9" ht="15.75" hidden="1" customHeight="1" x14ac:dyDescent="0.25">
      <c r="B17" s="31"/>
      <c r="C17" s="110" t="s">
        <v>146</v>
      </c>
      <c r="D17" s="111">
        <v>1.2200000000000001E-2</v>
      </c>
      <c r="E17" s="111"/>
      <c r="F17" s="4"/>
      <c r="G17" s="4"/>
      <c r="H17" s="4"/>
      <c r="I17" s="32"/>
    </row>
    <row r="18" spans="2:9" ht="15.75" hidden="1" customHeight="1" x14ac:dyDescent="0.25">
      <c r="B18" s="31"/>
      <c r="C18" s="4"/>
      <c r="D18" s="4"/>
      <c r="E18" s="4"/>
      <c r="F18" s="4"/>
      <c r="G18" s="4"/>
      <c r="H18" s="4"/>
      <c r="I18" s="32"/>
    </row>
    <row r="19" spans="2:9" ht="15.75" hidden="1" customHeight="1" x14ac:dyDescent="0.25">
      <c r="B19" s="31"/>
      <c r="C19" s="26" t="s">
        <v>151</v>
      </c>
      <c r="D19" s="2">
        <f>'Appendix 2'!D39+WACC!D17</f>
        <v>4.5470000000000003E-2</v>
      </c>
      <c r="E19" s="4"/>
      <c r="F19" s="4"/>
      <c r="G19" s="4"/>
      <c r="H19" s="4"/>
      <c r="I19" s="32"/>
    </row>
    <row r="20" spans="2:9" ht="15.75" hidden="1" customHeight="1" x14ac:dyDescent="0.25">
      <c r="B20" s="31"/>
      <c r="C20" s="26" t="s">
        <v>149</v>
      </c>
      <c r="D20" s="102">
        <f>1-'Appendix 1'!D60</f>
        <v>0.24507199776317634</v>
      </c>
      <c r="E20" s="4"/>
      <c r="F20" s="4"/>
      <c r="G20" s="4"/>
      <c r="H20" s="4"/>
      <c r="I20" s="32"/>
    </row>
    <row r="21" spans="2:9" ht="15.75" hidden="1" customHeight="1" x14ac:dyDescent="0.25">
      <c r="B21" s="31"/>
      <c r="C21" s="4" t="s">
        <v>150</v>
      </c>
      <c r="D21" s="112">
        <f>D19*(1-D20)</f>
        <v>3.4326576261708375E-2</v>
      </c>
      <c r="E21" s="4"/>
      <c r="F21" s="4"/>
      <c r="G21" s="4"/>
      <c r="H21" s="4"/>
      <c r="I21" s="32"/>
    </row>
    <row r="22" spans="2:9" ht="15.75" hidden="1" customHeight="1" x14ac:dyDescent="0.25">
      <c r="B22" s="31"/>
      <c r="C22" s="4"/>
      <c r="D22" s="4"/>
      <c r="E22" s="4"/>
      <c r="F22" s="4"/>
      <c r="G22" s="4"/>
      <c r="H22" s="4"/>
      <c r="I22" s="32"/>
    </row>
    <row r="23" spans="2:9" ht="15.75" hidden="1" customHeight="1" x14ac:dyDescent="0.25">
      <c r="B23" s="31"/>
      <c r="C23" s="26" t="s">
        <v>152</v>
      </c>
      <c r="D23" s="3">
        <f>'Appendix 2'!D39</f>
        <v>3.3270000000000001E-2</v>
      </c>
      <c r="E23" s="4"/>
      <c r="F23" s="4"/>
      <c r="G23" s="4"/>
      <c r="H23" s="4"/>
      <c r="I23" s="32"/>
    </row>
    <row r="24" spans="2:9" ht="15.75" hidden="1" customHeight="1" x14ac:dyDescent="0.25">
      <c r="B24" s="31"/>
      <c r="C24" s="26" t="s">
        <v>91</v>
      </c>
      <c r="D24" s="103">
        <f>D16</f>
        <v>0.61</v>
      </c>
      <c r="E24" s="4"/>
      <c r="F24" s="4"/>
      <c r="G24" s="4"/>
      <c r="H24" s="4"/>
      <c r="I24" s="32"/>
    </row>
    <row r="25" spans="2:9" ht="15.75" hidden="1" customHeight="1" x14ac:dyDescent="0.25">
      <c r="B25" s="31"/>
      <c r="C25" s="26" t="s">
        <v>153</v>
      </c>
      <c r="D25" s="102">
        <f>'Appendix 2'!D13</f>
        <v>5.3199999999999997E-2</v>
      </c>
      <c r="E25" s="4"/>
      <c r="F25" s="4"/>
      <c r="G25" s="4"/>
      <c r="H25" s="4"/>
      <c r="I25" s="32"/>
    </row>
    <row r="26" spans="2:9" ht="15.75" hidden="1" customHeight="1" x14ac:dyDescent="0.25">
      <c r="B26" s="31"/>
      <c r="C26" s="4" t="s">
        <v>154</v>
      </c>
      <c r="D26" s="112">
        <f>D23+D24*D25</f>
        <v>6.5722000000000003E-2</v>
      </c>
      <c r="E26" s="4"/>
      <c r="F26" s="4"/>
      <c r="G26" s="4"/>
      <c r="H26" s="4"/>
      <c r="I26" s="32"/>
    </row>
    <row r="27" spans="2:9" ht="15.75" hidden="1" customHeight="1" x14ac:dyDescent="0.25">
      <c r="B27" s="31"/>
      <c r="C27" s="4"/>
      <c r="D27" s="4"/>
      <c r="E27" s="4"/>
      <c r="F27" s="4"/>
      <c r="G27" s="4"/>
      <c r="H27" s="4"/>
      <c r="I27" s="32"/>
    </row>
    <row r="28" spans="2:9" ht="15.75" hidden="1" customHeight="1" x14ac:dyDescent="0.25">
      <c r="B28" s="31"/>
      <c r="C28" s="101"/>
      <c r="D28" s="107" t="s">
        <v>145</v>
      </c>
      <c r="E28" s="108" t="s">
        <v>19</v>
      </c>
      <c r="F28" s="108" t="s">
        <v>128</v>
      </c>
      <c r="G28" s="4"/>
      <c r="H28" s="4"/>
      <c r="I28" s="32"/>
    </row>
    <row r="29" spans="2:9" ht="15.75" hidden="1" customHeight="1" x14ac:dyDescent="0.25">
      <c r="B29" s="31"/>
      <c r="C29" s="26" t="s">
        <v>44</v>
      </c>
      <c r="D29" s="5">
        <f>Debt!D9</f>
        <v>17446.018450184503</v>
      </c>
      <c r="E29" s="59">
        <f>D29/$D$10</f>
        <v>0.12870881170937171</v>
      </c>
      <c r="F29" s="2">
        <f>D21</f>
        <v>3.4326576261708375E-2</v>
      </c>
      <c r="G29" s="4"/>
      <c r="H29" s="4"/>
      <c r="I29" s="32"/>
    </row>
    <row r="30" spans="2:9" ht="15.75" hidden="1" customHeight="1" x14ac:dyDescent="0.25">
      <c r="B30" s="31"/>
      <c r="C30" s="26" t="s">
        <v>45</v>
      </c>
      <c r="D30" s="97">
        <f>Equity!D11</f>
        <v>118100.4</v>
      </c>
      <c r="E30" s="59">
        <f>D30/$D$10</f>
        <v>0.87129118829062835</v>
      </c>
      <c r="F30" s="2">
        <f>D26</f>
        <v>6.5722000000000003E-2</v>
      </c>
      <c r="G30" s="4"/>
      <c r="H30" s="4"/>
      <c r="I30" s="32"/>
    </row>
    <row r="31" spans="2:9" ht="15.75" hidden="1" customHeight="1" x14ac:dyDescent="0.25">
      <c r="B31" s="31"/>
      <c r="C31" s="4" t="s">
        <v>129</v>
      </c>
      <c r="D31" s="5">
        <f>SUM(D29:D30)</f>
        <v>135546.41845018449</v>
      </c>
      <c r="E31" s="11"/>
      <c r="F31" s="3"/>
      <c r="G31" s="4"/>
      <c r="H31" s="4"/>
      <c r="I31" s="32"/>
    </row>
    <row r="32" spans="2:9" ht="15.75" hidden="1" customHeight="1" x14ac:dyDescent="0.25">
      <c r="B32" s="31"/>
      <c r="C32" s="4"/>
      <c r="D32" s="4"/>
      <c r="E32" s="4"/>
      <c r="F32" s="4"/>
      <c r="G32" s="4"/>
      <c r="H32" s="4"/>
      <c r="I32" s="32"/>
    </row>
    <row r="33" spans="2:9" ht="15.75" hidden="1" customHeight="1" x14ac:dyDescent="0.25">
      <c r="B33" s="31"/>
      <c r="C33" s="10" t="s">
        <v>46</v>
      </c>
      <c r="D33" s="106">
        <f>E29*F29+E30*F30</f>
        <v>6.1681132317532292E-2</v>
      </c>
      <c r="E33" s="4"/>
      <c r="F33" s="4"/>
      <c r="G33" s="4"/>
      <c r="H33" s="4"/>
      <c r="I33" s="32"/>
    </row>
    <row r="34" spans="2:9" ht="15.75" hidden="1" customHeight="1" x14ac:dyDescent="0.25">
      <c r="B34" s="31"/>
      <c r="C34" s="10"/>
      <c r="D34" s="106"/>
      <c r="E34" s="4"/>
      <c r="F34" s="4"/>
      <c r="G34" s="4"/>
      <c r="H34" s="4"/>
      <c r="I34" s="32"/>
    </row>
    <row r="35" spans="2:9" ht="15.75" customHeight="1" x14ac:dyDescent="0.25">
      <c r="B35" s="31"/>
      <c r="C35" s="104"/>
      <c r="D35" s="4"/>
      <c r="E35" s="172" t="s">
        <v>146</v>
      </c>
      <c r="F35" s="173"/>
      <c r="G35" s="173"/>
      <c r="H35" s="174"/>
      <c r="I35" s="32"/>
    </row>
    <row r="36" spans="2:9" ht="15.75" customHeight="1" x14ac:dyDescent="0.25">
      <c r="B36" s="31"/>
      <c r="C36" s="4"/>
      <c r="D36" s="123">
        <f>D33</f>
        <v>6.1681132317532292E-2</v>
      </c>
      <c r="E36" s="113">
        <v>1.2200000000000001E-2</v>
      </c>
      <c r="F36" s="114">
        <v>1.32E-2</v>
      </c>
      <c r="G36" s="114">
        <v>1.4200000000000001E-2</v>
      </c>
      <c r="H36" s="115">
        <v>1.52E-2</v>
      </c>
      <c r="I36" s="32"/>
    </row>
    <row r="37" spans="2:9" ht="15.75" customHeight="1" x14ac:dyDescent="0.25">
      <c r="B37" s="31"/>
      <c r="C37" s="169" t="s">
        <v>91</v>
      </c>
      <c r="D37" s="124">
        <v>0.61</v>
      </c>
      <c r="E37" s="116">
        <f t="dataTable" ref="E37:H44" dt2D="1" dtr="1" r1="D17" r2="D16"/>
        <v>6.1681132317532292E-2</v>
      </c>
      <c r="F37" s="117">
        <v>6.177829820362632E-2</v>
      </c>
      <c r="G37" s="117">
        <v>6.1875464089720347E-2</v>
      </c>
      <c r="H37" s="118">
        <v>6.1972629975814382E-2</v>
      </c>
      <c r="I37" s="32"/>
    </row>
    <row r="38" spans="2:9" ht="15.75" customHeight="1" x14ac:dyDescent="0.25">
      <c r="B38" s="31"/>
      <c r="C38" s="170"/>
      <c r="D38" s="125">
        <v>0.71</v>
      </c>
      <c r="E38" s="119">
        <v>6.631640143923842E-2</v>
      </c>
      <c r="F38" s="3">
        <v>6.6413567325332448E-2</v>
      </c>
      <c r="G38" s="3">
        <v>6.651073321142649E-2</v>
      </c>
      <c r="H38" s="120">
        <v>6.6607899097520518E-2</v>
      </c>
      <c r="I38" s="32"/>
    </row>
    <row r="39" spans="2:9" ht="15.75" customHeight="1" x14ac:dyDescent="0.25">
      <c r="B39" s="31"/>
      <c r="C39" s="170"/>
      <c r="D39" s="125">
        <v>0.81</v>
      </c>
      <c r="E39" s="119">
        <v>7.0951670560944577E-2</v>
      </c>
      <c r="F39" s="3">
        <v>7.1048836447038605E-2</v>
      </c>
      <c r="G39" s="3">
        <v>7.1146002333132632E-2</v>
      </c>
      <c r="H39" s="120">
        <v>7.124316821922666E-2</v>
      </c>
      <c r="I39" s="32"/>
    </row>
    <row r="40" spans="2:9" ht="15.75" customHeight="1" x14ac:dyDescent="0.25">
      <c r="B40" s="31"/>
      <c r="C40" s="170"/>
      <c r="D40" s="125">
        <v>0.91</v>
      </c>
      <c r="E40" s="119">
        <v>7.5586939682650719E-2</v>
      </c>
      <c r="F40" s="3">
        <v>7.5684105568744747E-2</v>
      </c>
      <c r="G40" s="3">
        <v>7.5781271454838775E-2</v>
      </c>
      <c r="H40" s="120">
        <v>7.5878437340932803E-2</v>
      </c>
      <c r="I40" s="32"/>
    </row>
    <row r="41" spans="2:9" ht="15.75" customHeight="1" x14ac:dyDescent="0.25">
      <c r="B41" s="31"/>
      <c r="C41" s="170"/>
      <c r="D41" s="125">
        <v>1.01</v>
      </c>
      <c r="E41" s="119">
        <v>8.0222208804356862E-2</v>
      </c>
      <c r="F41" s="3">
        <v>8.031937469045089E-2</v>
      </c>
      <c r="G41" s="3">
        <v>8.0416540576544918E-2</v>
      </c>
      <c r="H41" s="120">
        <v>8.0513706462638945E-2</v>
      </c>
      <c r="I41" s="32"/>
    </row>
    <row r="42" spans="2:9" ht="15.75" customHeight="1" x14ac:dyDescent="0.25">
      <c r="B42" s="31"/>
      <c r="C42" s="170"/>
      <c r="D42" s="125">
        <v>1.1100000000000001</v>
      </c>
      <c r="E42" s="119">
        <v>8.4857477926063005E-2</v>
      </c>
      <c r="F42" s="3">
        <v>8.4954643812157032E-2</v>
      </c>
      <c r="G42" s="3">
        <v>8.505180969825106E-2</v>
      </c>
      <c r="H42" s="120">
        <v>8.5148975584345088E-2</v>
      </c>
      <c r="I42" s="32"/>
    </row>
    <row r="43" spans="2:9" ht="15.75" customHeight="1" x14ac:dyDescent="0.25">
      <c r="B43" s="31"/>
      <c r="C43" s="170"/>
      <c r="D43" s="125">
        <v>1.21</v>
      </c>
      <c r="E43" s="119">
        <v>8.9492747047769161E-2</v>
      </c>
      <c r="F43" s="3">
        <v>8.9589912933863189E-2</v>
      </c>
      <c r="G43" s="3">
        <v>8.9687078819957217E-2</v>
      </c>
      <c r="H43" s="120">
        <v>8.9784244706051244E-2</v>
      </c>
      <c r="I43" s="32"/>
    </row>
    <row r="44" spans="2:9" ht="15.75" customHeight="1" x14ac:dyDescent="0.25">
      <c r="B44" s="31"/>
      <c r="C44" s="171"/>
      <c r="D44" s="126">
        <v>1.31</v>
      </c>
      <c r="E44" s="121">
        <v>9.412801616947529E-2</v>
      </c>
      <c r="F44" s="102">
        <v>9.4225182055569318E-2</v>
      </c>
      <c r="G44" s="102">
        <v>9.4322347941663345E-2</v>
      </c>
      <c r="H44" s="122">
        <v>9.4419513827757373E-2</v>
      </c>
      <c r="I44" s="32"/>
    </row>
    <row r="45" spans="2:9" ht="15.75" customHeight="1" thickBot="1" x14ac:dyDescent="0.3">
      <c r="B45" s="35"/>
      <c r="C45" s="36"/>
      <c r="D45" s="36"/>
      <c r="E45" s="36"/>
      <c r="F45" s="36"/>
      <c r="G45" s="36"/>
      <c r="H45" s="36"/>
      <c r="I45" s="38"/>
    </row>
  </sheetData>
  <mergeCells count="5">
    <mergeCell ref="C37:C44"/>
    <mergeCell ref="C14:H14"/>
    <mergeCell ref="C3:H3"/>
    <mergeCell ref="C5:F5"/>
    <mergeCell ref="E35:H35"/>
  </mergeCells>
  <hyperlinks>
    <hyperlink ref="K3" location="'Table of Content'!A1" display="Return to TOC" xr:uid="{0C46B4E1-2B5A-47E9-BB4F-E0A7FAD45064}"/>
  </hyperlink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of Content</vt:lpstr>
      <vt:lpstr>Exhibit 3</vt:lpstr>
      <vt:lpstr>Exhibit 4</vt:lpstr>
      <vt:lpstr>Appendix 1</vt:lpstr>
      <vt:lpstr>Appendix 2</vt:lpstr>
      <vt:lpstr>Appendix 3</vt:lpstr>
      <vt:lpstr>Equity</vt:lpstr>
      <vt:lpstr>Debt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Pecherot</dc:creator>
  <cp:lastModifiedBy>Barbara Pecherot</cp:lastModifiedBy>
  <cp:lastPrinted>2025-04-28T17:24:04Z</cp:lastPrinted>
  <dcterms:created xsi:type="dcterms:W3CDTF">2024-08-03T13:05:01Z</dcterms:created>
  <dcterms:modified xsi:type="dcterms:W3CDTF">2025-11-21T22:18:04Z</dcterms:modified>
</cp:coreProperties>
</file>