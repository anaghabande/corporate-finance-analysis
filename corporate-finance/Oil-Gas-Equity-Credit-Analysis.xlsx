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etitt\ASU Dropbox\Barbara Petitt\Degree Programs\TGM 517\1 Fall 2025\Sessions\Session 11\"/>
    </mc:Choice>
  </mc:AlternateContent>
  <xr:revisionPtr revIDLastSave="0" documentId="13_ncr:1_{635D1003-D231-4F7B-AABE-FAFCA08437A0}" xr6:coauthVersionLast="36" xr6:coauthVersionMax="36" xr10:uidLastSave="{00000000-0000-0000-0000-000000000000}"/>
  <bookViews>
    <workbookView xWindow="0" yWindow="0" windowWidth="19200" windowHeight="8145" tabRatio="835" xr2:uid="{9B5ADC5D-74AF-48D8-B305-DBE0EDC9953B}"/>
  </bookViews>
  <sheets>
    <sheet name="Table of Content" sheetId="15" r:id="rId1"/>
    <sheet name="Aramco" sheetId="1" r:id="rId2"/>
    <sheet name="Chevron" sheetId="2" r:id="rId3"/>
    <sheet name="Exxon" sheetId="3" r:id="rId4"/>
    <sheet name="Oxy" sheetId="4" r:id="rId5"/>
    <sheet name="Exhibit A2" sheetId="16" r:id="rId6"/>
    <sheet name="Exhibit A3" sheetId="17" r:id="rId7"/>
    <sheet name="Exhibit A4" sheetId="24" r:id="rId8"/>
    <sheet name="Exhibit B1" sheetId="20" r:id="rId9"/>
    <sheet name="Exhibit B4" sheetId="27" r:id="rId10"/>
    <sheet name="Questions A4 and A6" sheetId="21" r:id="rId11"/>
    <sheet name="Question A5" sheetId="26" r:id="rId12"/>
    <sheet name="Question A7" sheetId="8" r:id="rId13"/>
    <sheet name="Questions A8 and A9" sheetId="9" r:id="rId14"/>
    <sheet name="Questions A10 and A11" sheetId="12" r:id="rId15"/>
    <sheet name="Question B3" sheetId="28" r:id="rId16"/>
    <sheet name="Questions B5 and B6" sheetId="14" r:id="rId17"/>
    <sheet name="Question B7" sheetId="31" r:id="rId18"/>
    <sheet name="Question B9" sheetId="32" r:id="rId19"/>
  </sheets>
  <externalReferences>
    <externalReference r:id="rId20"/>
  </externalReferences>
  <definedNames>
    <definedName name="A_CF">[1]Annuity!$D$5</definedName>
    <definedName name="A_DR">[1]Annuity!$D$7</definedName>
    <definedName name="A_NP">[1]Annuity!$D$6</definedName>
    <definedName name="D" localSheetId="7">#REF!</definedName>
    <definedName name="D" localSheetId="8">#REF!</definedName>
    <definedName name="D" localSheetId="9">#REF!</definedName>
    <definedName name="D" localSheetId="11">#REF!</definedName>
    <definedName name="D" localSheetId="15">#REF!</definedName>
    <definedName name="D" localSheetId="17">#REF!</definedName>
    <definedName name="D" localSheetId="18">#REF!</definedName>
    <definedName name="D" localSheetId="10">#REF!</definedName>
    <definedName name="D">#REF!</definedName>
    <definedName name="GA_CF">'[1]Growing Annuity'!$D$5</definedName>
    <definedName name="GA_DR">'[1]Growing Annuity'!$D$8</definedName>
    <definedName name="GA_GR">'[1]Growing Annuity'!$D$6</definedName>
    <definedName name="GA_NP">'[1]Growing Annuity'!$D$7</definedName>
    <definedName name="GP_CF">'[1]Growing Perpetuity'!$D$5</definedName>
    <definedName name="GP_DR">'[1]Growing Perpetuity'!$D$7</definedName>
    <definedName name="GP_GR">'[1]Growing Perpetuity'!$D$6</definedName>
    <definedName name="IRC_NP" localSheetId="5">#REF!</definedName>
    <definedName name="IRC_NP" localSheetId="6">#REF!</definedName>
    <definedName name="IRC_NP" localSheetId="7">#REF!</definedName>
    <definedName name="IRC_NP" localSheetId="8">#REF!</definedName>
    <definedName name="IRC_NP" localSheetId="9">#REF!</definedName>
    <definedName name="IRC_NP" localSheetId="11">#REF!</definedName>
    <definedName name="IRC_NP" localSheetId="15">#REF!</definedName>
    <definedName name="IRC_NP" localSheetId="17">#REF!</definedName>
    <definedName name="IRC_NP" localSheetId="18">#REF!</definedName>
    <definedName name="IRC_NP" localSheetId="10">#REF!</definedName>
    <definedName name="IRC_NP">#REF!</definedName>
    <definedName name="IRC_SAIR" localSheetId="5">#REF!</definedName>
    <definedName name="IRC_SAIR" localSheetId="6">#REF!</definedName>
    <definedName name="IRC_SAIR" localSheetId="7">#REF!</definedName>
    <definedName name="IRC_SAIR" localSheetId="8">#REF!</definedName>
    <definedName name="IRC_SAIR" localSheetId="9">#REF!</definedName>
    <definedName name="IRC_SAIR" localSheetId="11">#REF!</definedName>
    <definedName name="IRC_SAIR" localSheetId="15">#REF!</definedName>
    <definedName name="IRC_SAIR" localSheetId="17">#REF!</definedName>
    <definedName name="IRC_SAIR" localSheetId="18">#REF!</definedName>
    <definedName name="IRC_SAIR" localSheetId="10">#REF!</definedName>
    <definedName name="IRC_SAIR">#REF!</definedName>
    <definedName name="P_CF">[1]Perpetuity!$D$5</definedName>
    <definedName name="P_DR">[1]Perpetuity!$D$6</definedName>
    <definedName name="S_CF">'[1]Single Cash Flow'!$D$3</definedName>
    <definedName name="S_DR">'[1]Single Cash Flow'!$D$5</definedName>
    <definedName name="S_T">'[1]Single Cash Flow'!$D$4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2" l="1"/>
  <c r="G29" i="12"/>
  <c r="H29" i="12"/>
  <c r="F41" i="14" l="1"/>
  <c r="D49" i="14"/>
  <c r="D50" i="14" s="1"/>
  <c r="D51" i="14" s="1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9" i="14"/>
  <c r="E41" i="14" s="1"/>
  <c r="M62" i="28"/>
  <c r="M65" i="28" s="1"/>
  <c r="N62" i="28"/>
  <c r="N65" i="28" s="1"/>
  <c r="N69" i="28" s="1"/>
  <c r="O62" i="28"/>
  <c r="O65" i="28" s="1"/>
  <c r="O69" i="28" s="1"/>
  <c r="P62" i="28"/>
  <c r="P65" i="28" s="1"/>
  <c r="P69" i="28" s="1"/>
  <c r="M63" i="28"/>
  <c r="N63" i="28"/>
  <c r="O63" i="28"/>
  <c r="P63" i="28"/>
  <c r="M64" i="28"/>
  <c r="N64" i="28"/>
  <c r="O64" i="28"/>
  <c r="P64" i="28"/>
  <c r="M66" i="28"/>
  <c r="M68" i="28" s="1"/>
  <c r="N66" i="28"/>
  <c r="N68" i="28" s="1"/>
  <c r="O66" i="28"/>
  <c r="P66" i="28"/>
  <c r="M67" i="28"/>
  <c r="N67" i="28"/>
  <c r="O67" i="28"/>
  <c r="P67" i="28"/>
  <c r="O68" i="28"/>
  <c r="P68" i="28"/>
  <c r="L67" i="28"/>
  <c r="L66" i="28"/>
  <c r="L64" i="28"/>
  <c r="L63" i="28"/>
  <c r="L62" i="28"/>
  <c r="M49" i="28"/>
  <c r="M52" i="28" s="1"/>
  <c r="N49" i="28"/>
  <c r="O49" i="28"/>
  <c r="O52" i="28" s="1"/>
  <c r="O56" i="28" s="1"/>
  <c r="P49" i="28"/>
  <c r="P52" i="28" s="1"/>
  <c r="P56" i="28" s="1"/>
  <c r="M50" i="28"/>
  <c r="N50" i="28"/>
  <c r="N52" i="28" s="1"/>
  <c r="N56" i="28" s="1"/>
  <c r="O50" i="28"/>
  <c r="P50" i="28"/>
  <c r="M51" i="28"/>
  <c r="N51" i="28"/>
  <c r="O51" i="28"/>
  <c r="P51" i="28"/>
  <c r="M53" i="28"/>
  <c r="M55" i="28" s="1"/>
  <c r="N53" i="28"/>
  <c r="N55" i="28" s="1"/>
  <c r="O53" i="28"/>
  <c r="O55" i="28" s="1"/>
  <c r="P53" i="28"/>
  <c r="M54" i="28"/>
  <c r="N54" i="28"/>
  <c r="O54" i="28"/>
  <c r="P54" i="28"/>
  <c r="P55" i="28"/>
  <c r="L54" i="28"/>
  <c r="L53" i="28"/>
  <c r="L51" i="28"/>
  <c r="L50" i="28"/>
  <c r="L49" i="28"/>
  <c r="F66" i="28"/>
  <c r="F68" i="28" s="1"/>
  <c r="F69" i="28" s="1"/>
  <c r="G66" i="28"/>
  <c r="G68" i="28" s="1"/>
  <c r="G69" i="28" s="1"/>
  <c r="H66" i="28"/>
  <c r="H68" i="28" s="1"/>
  <c r="H69" i="28" s="1"/>
  <c r="I66" i="28"/>
  <c r="I68" i="28" s="1"/>
  <c r="I69" i="28" s="1"/>
  <c r="F67" i="28"/>
  <c r="G67" i="28"/>
  <c r="H67" i="28"/>
  <c r="I67" i="28"/>
  <c r="E67" i="28"/>
  <c r="E66" i="28"/>
  <c r="F62" i="28"/>
  <c r="G62" i="28"/>
  <c r="H62" i="28"/>
  <c r="H65" i="28" s="1"/>
  <c r="I62" i="28"/>
  <c r="F63" i="28"/>
  <c r="F65" i="28" s="1"/>
  <c r="G63" i="28"/>
  <c r="G65" i="28" s="1"/>
  <c r="H63" i="28"/>
  <c r="I63" i="28"/>
  <c r="I65" i="28" s="1"/>
  <c r="F64" i="28"/>
  <c r="G64" i="28"/>
  <c r="H64" i="28"/>
  <c r="I64" i="28"/>
  <c r="E64" i="28"/>
  <c r="E63" i="28"/>
  <c r="E62" i="28"/>
  <c r="F49" i="28"/>
  <c r="G49" i="28"/>
  <c r="H49" i="28"/>
  <c r="I49" i="28"/>
  <c r="F50" i="28"/>
  <c r="G50" i="28"/>
  <c r="H50" i="28"/>
  <c r="I50" i="28"/>
  <c r="F51" i="28"/>
  <c r="G51" i="28"/>
  <c r="H51" i="28"/>
  <c r="I51" i="28"/>
  <c r="F54" i="28"/>
  <c r="G54" i="28"/>
  <c r="H54" i="28"/>
  <c r="I54" i="28"/>
  <c r="E54" i="28"/>
  <c r="E51" i="28"/>
  <c r="E50" i="28"/>
  <c r="E49" i="28"/>
  <c r="M39" i="28"/>
  <c r="N39" i="28"/>
  <c r="O39" i="28"/>
  <c r="P39" i="28"/>
  <c r="L39" i="28"/>
  <c r="M31" i="28"/>
  <c r="N31" i="28"/>
  <c r="O31" i="28"/>
  <c r="P31" i="28"/>
  <c r="L31" i="28"/>
  <c r="F39" i="28"/>
  <c r="G39" i="28"/>
  <c r="H39" i="28"/>
  <c r="I39" i="28"/>
  <c r="E39" i="28"/>
  <c r="F31" i="28"/>
  <c r="G31" i="28"/>
  <c r="H31" i="28"/>
  <c r="I31" i="28"/>
  <c r="E31" i="28"/>
  <c r="M19" i="28"/>
  <c r="M38" i="28" s="1"/>
  <c r="N19" i="28"/>
  <c r="N38" i="28" s="1"/>
  <c r="O19" i="28"/>
  <c r="O38" i="28" s="1"/>
  <c r="P19" i="28"/>
  <c r="P38" i="28" s="1"/>
  <c r="M20" i="28"/>
  <c r="N20" i="28"/>
  <c r="O20" i="28"/>
  <c r="P20" i="28"/>
  <c r="L20" i="28"/>
  <c r="L19" i="28"/>
  <c r="M11" i="28"/>
  <c r="M30" i="28" s="1"/>
  <c r="N11" i="28"/>
  <c r="N30" i="28" s="1"/>
  <c r="O11" i="28"/>
  <c r="O30" i="28" s="1"/>
  <c r="P11" i="28"/>
  <c r="P30" i="28" s="1"/>
  <c r="M12" i="28"/>
  <c r="N12" i="28"/>
  <c r="O12" i="28"/>
  <c r="P12" i="28"/>
  <c r="L12" i="28"/>
  <c r="L11" i="28"/>
  <c r="L30" i="28" s="1"/>
  <c r="F19" i="28"/>
  <c r="F38" i="28" s="1"/>
  <c r="G19" i="28"/>
  <c r="G38" i="28" s="1"/>
  <c r="H19" i="28"/>
  <c r="H38" i="28" s="1"/>
  <c r="I19" i="28"/>
  <c r="I38" i="28" s="1"/>
  <c r="F20" i="28"/>
  <c r="G20" i="28"/>
  <c r="H20" i="28"/>
  <c r="I20" i="28"/>
  <c r="E20" i="28"/>
  <c r="E19" i="28"/>
  <c r="E38" i="28" s="1"/>
  <c r="F11" i="28"/>
  <c r="F30" i="28" s="1"/>
  <c r="G11" i="28"/>
  <c r="G30" i="28" s="1"/>
  <c r="H11" i="28"/>
  <c r="H30" i="28" s="1"/>
  <c r="I11" i="28"/>
  <c r="I30" i="28" s="1"/>
  <c r="F12" i="28"/>
  <c r="G12" i="28"/>
  <c r="H12" i="28"/>
  <c r="I12" i="28"/>
  <c r="E12" i="28"/>
  <c r="E11" i="28"/>
  <c r="E30" i="28" s="1"/>
  <c r="D19" i="27"/>
  <c r="D47" i="14" l="1"/>
  <c r="M69" i="28"/>
  <c r="L68" i="28"/>
  <c r="L65" i="28"/>
  <c r="M56" i="28"/>
  <c r="E65" i="28"/>
  <c r="E68" i="28"/>
  <c r="E69" i="28"/>
  <c r="L52" i="28"/>
  <c r="G53" i="28"/>
  <c r="G55" i="28" s="1"/>
  <c r="L21" i="28"/>
  <c r="L55" i="28"/>
  <c r="G52" i="28"/>
  <c r="I53" i="28"/>
  <c r="I55" i="28" s="1"/>
  <c r="I52" i="28"/>
  <c r="H53" i="28"/>
  <c r="H55" i="28" s="1"/>
  <c r="H52" i="28"/>
  <c r="F53" i="28"/>
  <c r="F55" i="28" s="1"/>
  <c r="F52" i="28"/>
  <c r="E53" i="28"/>
  <c r="E55" i="28" s="1"/>
  <c r="I32" i="28"/>
  <c r="E52" i="28"/>
  <c r="E32" i="28"/>
  <c r="P40" i="28"/>
  <c r="H40" i="28"/>
  <c r="O40" i="28"/>
  <c r="I40" i="28"/>
  <c r="E40" i="28"/>
  <c r="G40" i="28"/>
  <c r="H32" i="28"/>
  <c r="G32" i="28"/>
  <c r="F32" i="28"/>
  <c r="L38" i="28"/>
  <c r="L40" i="28" s="1"/>
  <c r="P21" i="28"/>
  <c r="F40" i="28"/>
  <c r="N40" i="28"/>
  <c r="M40" i="28"/>
  <c r="P32" i="28"/>
  <c r="O32" i="28"/>
  <c r="N32" i="28"/>
  <c r="M32" i="28"/>
  <c r="L32" i="28"/>
  <c r="L13" i="28"/>
  <c r="M13" i="28"/>
  <c r="O21" i="28"/>
  <c r="N13" i="28"/>
  <c r="M21" i="28"/>
  <c r="E21" i="28"/>
  <c r="N21" i="28"/>
  <c r="P13" i="28"/>
  <c r="O13" i="28"/>
  <c r="G21" i="28"/>
  <c r="G13" i="28"/>
  <c r="H21" i="28"/>
  <c r="F21" i="28"/>
  <c r="I13" i="28"/>
  <c r="H13" i="28"/>
  <c r="E13" i="28"/>
  <c r="F13" i="28"/>
  <c r="I21" i="28"/>
  <c r="O38" i="21"/>
  <c r="N38" i="21"/>
  <c r="N39" i="21" s="1"/>
  <c r="M38" i="21"/>
  <c r="L38" i="21"/>
  <c r="K38" i="21"/>
  <c r="O30" i="21"/>
  <c r="N30" i="21"/>
  <c r="M30" i="21"/>
  <c r="L30" i="21"/>
  <c r="K30" i="21"/>
  <c r="H38" i="21"/>
  <c r="G38" i="21"/>
  <c r="G39" i="21" s="1"/>
  <c r="F38" i="21"/>
  <c r="F39" i="21" s="1"/>
  <c r="E38" i="21"/>
  <c r="D38" i="21"/>
  <c r="H30" i="21"/>
  <c r="H29" i="21"/>
  <c r="H31" i="21" s="1"/>
  <c r="G30" i="21"/>
  <c r="F30" i="21"/>
  <c r="E30" i="21"/>
  <c r="D30" i="21"/>
  <c r="L37" i="21"/>
  <c r="M37" i="21"/>
  <c r="N37" i="21"/>
  <c r="O37" i="21"/>
  <c r="K37" i="21"/>
  <c r="L29" i="21"/>
  <c r="L31" i="21" s="1"/>
  <c r="M29" i="21"/>
  <c r="N29" i="21"/>
  <c r="O29" i="21"/>
  <c r="K29" i="21"/>
  <c r="E37" i="21"/>
  <c r="F37" i="21"/>
  <c r="G37" i="21"/>
  <c r="H37" i="21"/>
  <c r="D37" i="21"/>
  <c r="E29" i="21"/>
  <c r="F29" i="21"/>
  <c r="G29" i="21"/>
  <c r="D29" i="21"/>
  <c r="D31" i="21" s="1"/>
  <c r="L39" i="21"/>
  <c r="E39" i="21"/>
  <c r="D39" i="21"/>
  <c r="E31" i="21"/>
  <c r="O21" i="26"/>
  <c r="O12" i="26"/>
  <c r="H21" i="26"/>
  <c r="H12" i="26"/>
  <c r="K20" i="26"/>
  <c r="L20" i="26"/>
  <c r="K19" i="26" s="1"/>
  <c r="M20" i="26"/>
  <c r="L19" i="26" s="1"/>
  <c r="N20" i="26"/>
  <c r="M19" i="26" s="1"/>
  <c r="N19" i="26"/>
  <c r="N18" i="26"/>
  <c r="M18" i="26"/>
  <c r="L18" i="26"/>
  <c r="K18" i="26"/>
  <c r="K11" i="26"/>
  <c r="L11" i="26"/>
  <c r="K10" i="26" s="1"/>
  <c r="M11" i="26"/>
  <c r="L10" i="26" s="1"/>
  <c r="N11" i="26"/>
  <c r="M10" i="26" s="1"/>
  <c r="N10" i="26"/>
  <c r="N9" i="26"/>
  <c r="M9" i="26"/>
  <c r="L9" i="26"/>
  <c r="K9" i="26"/>
  <c r="D20" i="26"/>
  <c r="E20" i="26"/>
  <c r="D19" i="26" s="1"/>
  <c r="F20" i="26"/>
  <c r="E19" i="26" s="1"/>
  <c r="G20" i="26"/>
  <c r="F19" i="26" s="1"/>
  <c r="G19" i="26"/>
  <c r="G18" i="26"/>
  <c r="F18" i="26"/>
  <c r="E18" i="26"/>
  <c r="D18" i="26"/>
  <c r="F11" i="26"/>
  <c r="E10" i="26" s="1"/>
  <c r="E11" i="26"/>
  <c r="D10" i="26" s="1"/>
  <c r="D11" i="26"/>
  <c r="F10" i="26"/>
  <c r="F9" i="26"/>
  <c r="E9" i="26"/>
  <c r="D9" i="26"/>
  <c r="L69" i="28" l="1"/>
  <c r="E56" i="28"/>
  <c r="I56" i="28"/>
  <c r="L56" i="28"/>
  <c r="G56" i="28"/>
  <c r="F56" i="28"/>
  <c r="H56" i="28"/>
  <c r="M39" i="21"/>
  <c r="K39" i="21"/>
  <c r="O31" i="21"/>
  <c r="N31" i="21"/>
  <c r="M31" i="21"/>
  <c r="K31" i="21"/>
  <c r="H39" i="21"/>
  <c r="G31" i="21"/>
  <c r="F31" i="21"/>
  <c r="O39" i="21"/>
  <c r="F21" i="26"/>
  <c r="K12" i="26"/>
  <c r="F12" i="26"/>
  <c r="K21" i="26"/>
  <c r="N21" i="26"/>
  <c r="M21" i="26"/>
  <c r="D12" i="26"/>
  <c r="E12" i="26"/>
  <c r="D21" i="26"/>
  <c r="L12" i="26"/>
  <c r="M12" i="26"/>
  <c r="N12" i="26"/>
  <c r="Q22" i="9"/>
  <c r="Q25" i="9" s="1"/>
  <c r="R22" i="9"/>
  <c r="R25" i="9" s="1"/>
  <c r="S22" i="9"/>
  <c r="S25" i="9" s="1"/>
  <c r="H28" i="12"/>
  <c r="G28" i="12"/>
  <c r="F28" i="12"/>
  <c r="E28" i="12"/>
  <c r="H27" i="12"/>
  <c r="G27" i="12"/>
  <c r="F27" i="12"/>
  <c r="E27" i="12"/>
  <c r="F22" i="12"/>
  <c r="G22" i="12"/>
  <c r="H22" i="12"/>
  <c r="E22" i="12"/>
  <c r="G11" i="8"/>
  <c r="F11" i="8"/>
  <c r="E11" i="8"/>
  <c r="D11" i="8"/>
  <c r="G7" i="8"/>
  <c r="F7" i="8"/>
  <c r="E7" i="8"/>
  <c r="D7" i="8"/>
  <c r="R9" i="9"/>
  <c r="R12" i="9" s="1"/>
  <c r="S9" i="9"/>
  <c r="S12" i="9" s="1"/>
  <c r="Q9" i="9"/>
  <c r="Q12" i="9" s="1"/>
  <c r="P9" i="9"/>
  <c r="P12" i="9" s="1"/>
  <c r="E25" i="9" l="1"/>
  <c r="E10" i="9"/>
  <c r="H25" i="9"/>
  <c r="H10" i="9"/>
  <c r="F10" i="9"/>
  <c r="F25" i="9"/>
  <c r="G10" i="9"/>
  <c r="G25" i="9"/>
  <c r="G21" i="26"/>
  <c r="L21" i="26"/>
  <c r="E21" i="26"/>
  <c r="E29" i="12"/>
  <c r="D18" i="14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H24" i="12"/>
  <c r="G24" i="12"/>
  <c r="F24" i="12"/>
  <c r="E24" i="12"/>
  <c r="H23" i="12"/>
  <c r="G23" i="12"/>
  <c r="F23" i="12"/>
  <c r="E23" i="12"/>
  <c r="H12" i="12"/>
  <c r="G12" i="12"/>
  <c r="F12" i="12"/>
  <c r="E12" i="12"/>
  <c r="H11" i="12"/>
  <c r="G11" i="12"/>
  <c r="F11" i="12"/>
  <c r="E11" i="12"/>
  <c r="H9" i="12"/>
  <c r="G9" i="12"/>
  <c r="F9" i="12"/>
  <c r="E9" i="12"/>
  <c r="H28" i="9"/>
  <c r="G28" i="9"/>
  <c r="H13" i="9"/>
  <c r="G13" i="9"/>
  <c r="F13" i="9"/>
  <c r="E13" i="9"/>
  <c r="F28" i="9"/>
  <c r="H9" i="9"/>
  <c r="H22" i="9" s="1"/>
  <c r="H24" i="9" s="1"/>
  <c r="G9" i="9"/>
  <c r="G22" i="9" s="1"/>
  <c r="G24" i="9" s="1"/>
  <c r="F9" i="9"/>
  <c r="F22" i="9" s="1"/>
  <c r="F24" i="9" s="1"/>
  <c r="E9" i="9"/>
  <c r="E22" i="9" s="1"/>
  <c r="E24" i="9" s="1"/>
  <c r="P22" i="9"/>
  <c r="P25" i="9" s="1"/>
  <c r="E28" i="9" s="1"/>
  <c r="G10" i="8"/>
  <c r="F10" i="8"/>
  <c r="E10" i="8"/>
  <c r="D10" i="8"/>
  <c r="G9" i="8"/>
  <c r="F9" i="8"/>
  <c r="F13" i="8" s="1"/>
  <c r="E9" i="8"/>
  <c r="E13" i="8" s="1"/>
  <c r="D9" i="8"/>
  <c r="D13" i="8" s="1"/>
  <c r="O18" i="21"/>
  <c r="N18" i="21"/>
  <c r="M18" i="21"/>
  <c r="L18" i="21"/>
  <c r="K18" i="21"/>
  <c r="H18" i="21"/>
  <c r="G18" i="21"/>
  <c r="F18" i="21"/>
  <c r="E18" i="21"/>
  <c r="D18" i="21"/>
  <c r="O17" i="21"/>
  <c r="N17" i="21"/>
  <c r="M17" i="21"/>
  <c r="L17" i="21"/>
  <c r="K17" i="21"/>
  <c r="H17" i="21"/>
  <c r="G17" i="21"/>
  <c r="F17" i="21"/>
  <c r="E17" i="21"/>
  <c r="D17" i="21"/>
  <c r="O10" i="21"/>
  <c r="N10" i="21"/>
  <c r="M10" i="21"/>
  <c r="L10" i="21"/>
  <c r="K10" i="21"/>
  <c r="G10" i="21"/>
  <c r="F10" i="21"/>
  <c r="E10" i="21"/>
  <c r="D10" i="21"/>
  <c r="O9" i="21"/>
  <c r="N9" i="21"/>
  <c r="M9" i="21"/>
  <c r="L9" i="21"/>
  <c r="K9" i="21"/>
  <c r="G9" i="21"/>
  <c r="F9" i="21"/>
  <c r="E9" i="21"/>
  <c r="D9" i="21"/>
  <c r="H17" i="4"/>
  <c r="G17" i="4"/>
  <c r="F17" i="4"/>
  <c r="E17" i="4"/>
  <c r="D17" i="4"/>
  <c r="H17" i="3"/>
  <c r="G17" i="3"/>
  <c r="F17" i="3"/>
  <c r="E17" i="3"/>
  <c r="D17" i="3"/>
  <c r="H17" i="2"/>
  <c r="G17" i="2"/>
  <c r="F17" i="2"/>
  <c r="E17" i="2"/>
  <c r="D17" i="2"/>
  <c r="O36" i="1"/>
  <c r="N36" i="1"/>
  <c r="M36" i="1"/>
  <c r="L36" i="1"/>
  <c r="K36" i="1"/>
  <c r="O35" i="1"/>
  <c r="N35" i="1"/>
  <c r="M35" i="1"/>
  <c r="L35" i="1"/>
  <c r="K35" i="1"/>
  <c r="O34" i="1"/>
  <c r="N34" i="1"/>
  <c r="M34" i="1"/>
  <c r="L34" i="1"/>
  <c r="K34" i="1"/>
  <c r="O33" i="1"/>
  <c r="N33" i="1"/>
  <c r="M33" i="1"/>
  <c r="L33" i="1"/>
  <c r="K33" i="1"/>
  <c r="O32" i="1"/>
  <c r="N32" i="1"/>
  <c r="M32" i="1"/>
  <c r="L32" i="1"/>
  <c r="K32" i="1"/>
  <c r="O31" i="1"/>
  <c r="N31" i="1"/>
  <c r="M31" i="1"/>
  <c r="L31" i="1"/>
  <c r="K31" i="1"/>
  <c r="O30" i="1"/>
  <c r="N30" i="1"/>
  <c r="M30" i="1"/>
  <c r="L30" i="1"/>
  <c r="K30" i="1"/>
  <c r="O29" i="1"/>
  <c r="N29" i="1"/>
  <c r="M29" i="1"/>
  <c r="L29" i="1"/>
  <c r="K29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21" i="1"/>
  <c r="N21" i="1"/>
  <c r="M21" i="1"/>
  <c r="L21" i="1"/>
  <c r="K21" i="1"/>
  <c r="O20" i="1"/>
  <c r="N20" i="1"/>
  <c r="M20" i="1"/>
  <c r="L20" i="1"/>
  <c r="K20" i="1"/>
  <c r="O19" i="1"/>
  <c r="N19" i="1"/>
  <c r="M19" i="1"/>
  <c r="L19" i="1"/>
  <c r="K19" i="1"/>
  <c r="H19" i="1"/>
  <c r="G19" i="1"/>
  <c r="F19" i="1"/>
  <c r="E19" i="1"/>
  <c r="D19" i="1"/>
  <c r="O18" i="1"/>
  <c r="N18" i="1"/>
  <c r="M18" i="1"/>
  <c r="L18" i="1"/>
  <c r="K18" i="1"/>
  <c r="O17" i="1"/>
  <c r="N17" i="1"/>
  <c r="M17" i="1"/>
  <c r="L17" i="1"/>
  <c r="K17" i="1"/>
  <c r="O16" i="1"/>
  <c r="N16" i="1"/>
  <c r="M16" i="1"/>
  <c r="L16" i="1"/>
  <c r="K16" i="1"/>
  <c r="O14" i="1"/>
  <c r="N14" i="1"/>
  <c r="M14" i="1"/>
  <c r="L14" i="1"/>
  <c r="K14" i="1"/>
  <c r="O13" i="1"/>
  <c r="N13" i="1"/>
  <c r="M13" i="1"/>
  <c r="L13" i="1"/>
  <c r="K13" i="1"/>
  <c r="O12" i="1"/>
  <c r="N12" i="1"/>
  <c r="M12" i="1"/>
  <c r="L12" i="1"/>
  <c r="K12" i="1"/>
  <c r="O11" i="1"/>
  <c r="N11" i="1"/>
  <c r="M11" i="1"/>
  <c r="L11" i="1"/>
  <c r="K11" i="1"/>
  <c r="O10" i="1"/>
  <c r="N10" i="1"/>
  <c r="M10" i="1"/>
  <c r="L10" i="1"/>
  <c r="K10" i="1"/>
  <c r="O9" i="1"/>
  <c r="N9" i="1"/>
  <c r="M9" i="1"/>
  <c r="L9" i="1"/>
  <c r="K9" i="1"/>
  <c r="G13" i="12" l="1"/>
  <c r="G15" i="12" s="1"/>
  <c r="H13" i="12"/>
  <c r="H15" i="12" s="1"/>
  <c r="E13" i="12"/>
  <c r="E15" i="12" s="1"/>
  <c r="F13" i="12"/>
  <c r="F15" i="12" s="1"/>
  <c r="H25" i="12"/>
  <c r="H31" i="12" s="1"/>
  <c r="G13" i="8"/>
  <c r="E11" i="9"/>
  <c r="E15" i="9" s="1"/>
  <c r="E26" i="9"/>
  <c r="H11" i="9"/>
  <c r="H15" i="9" s="1"/>
  <c r="H26" i="9"/>
  <c r="G11" i="9"/>
  <c r="G15" i="9" s="1"/>
  <c r="G26" i="9"/>
  <c r="F26" i="9"/>
  <c r="F11" i="9"/>
  <c r="F15" i="9" s="1"/>
  <c r="E25" i="12"/>
  <c r="E31" i="12" s="1"/>
  <c r="F25" i="12"/>
  <c r="F31" i="12" s="1"/>
  <c r="G25" i="12"/>
  <c r="G31" i="12" s="1"/>
  <c r="K11" i="21"/>
  <c r="E19" i="21"/>
  <c r="E11" i="21"/>
  <c r="G19" i="21"/>
  <c r="D19" i="21"/>
  <c r="H19" i="21"/>
  <c r="F11" i="21"/>
  <c r="G11" i="21"/>
  <c r="O19" i="21"/>
  <c r="F19" i="21"/>
  <c r="N19" i="21"/>
  <c r="L11" i="21"/>
  <c r="M11" i="21"/>
  <c r="M19" i="21"/>
  <c r="O11" i="21"/>
  <c r="D11" i="21"/>
  <c r="K19" i="21"/>
  <c r="L19" i="21"/>
  <c r="N1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Barbara Pecherot</author>
  </authors>
  <commentList>
    <comment ref="N3" authorId="0" shapeId="0" xr:uid="{941F4EAA-F5CE-4C75-9312-B700FF384DF6}">
      <text>
        <r>
          <rPr>
            <sz val="11"/>
            <color indexed="81"/>
            <rFont val="Times New Roman"/>
            <family val="1"/>
          </rPr>
          <t>From the Excel Financial Calculator</t>
        </r>
      </text>
    </comment>
  </commentList>
</comments>
</file>

<file path=xl/sharedStrings.xml><?xml version="1.0" encoding="utf-8"?>
<sst xmlns="http://schemas.openxmlformats.org/spreadsheetml/2006/main" count="597" uniqueCount="199">
  <si>
    <t>Income Statement</t>
  </si>
  <si>
    <t>Revenue</t>
  </si>
  <si>
    <t>EBIT</t>
  </si>
  <si>
    <t>Net Income</t>
  </si>
  <si>
    <t>Balance Sheet</t>
  </si>
  <si>
    <t>Cash and Cash Equivalents</t>
  </si>
  <si>
    <t>Total Current Assets</t>
  </si>
  <si>
    <t>Total Non-Current Assets</t>
  </si>
  <si>
    <t>Total Assets</t>
  </si>
  <si>
    <t>Short-Term Debt</t>
  </si>
  <si>
    <t>Long-Term Debt</t>
  </si>
  <si>
    <t>Total Liabilities</t>
  </si>
  <si>
    <t>Preferred Stock</t>
  </si>
  <si>
    <t>Common Stock</t>
  </si>
  <si>
    <t>Additional Paid-In Capital</t>
  </si>
  <si>
    <t>Retained Earnings</t>
  </si>
  <si>
    <t>Treasury Stock</t>
  </si>
  <si>
    <t>Total Equity</t>
  </si>
  <si>
    <t>Cash Flow Statement</t>
  </si>
  <si>
    <t>Cash Flow from Operating Activities</t>
  </si>
  <si>
    <t>Cash Flow from Investing Activities</t>
  </si>
  <si>
    <t>Cash Flow from Financing Activities</t>
  </si>
  <si>
    <t>Other Information</t>
  </si>
  <si>
    <t>Common Shares Outstanding (million)</t>
  </si>
  <si>
    <t>Preferred Shares Outstanding (thousand)</t>
  </si>
  <si>
    <t>Aramco</t>
  </si>
  <si>
    <t>Chevron</t>
  </si>
  <si>
    <t>Exxon</t>
  </si>
  <si>
    <t>Oxy</t>
  </si>
  <si>
    <t>Exchange Rate SAR/USD</t>
  </si>
  <si>
    <t>In millions of SAR</t>
  </si>
  <si>
    <t>In millions of USD</t>
  </si>
  <si>
    <t>Stock Price 31 March 2023</t>
  </si>
  <si>
    <t>Cost of Equity</t>
  </si>
  <si>
    <t>Quarterly Cost of Equity</t>
  </si>
  <si>
    <t>Number of Payments per Year</t>
  </si>
  <si>
    <t>Implied Stock Price (ISP)</t>
  </si>
  <si>
    <t>SP/ISP</t>
  </si>
  <si>
    <t>Quarterly Dividend Growth Rate</t>
  </si>
  <si>
    <t>Expected Annual Dividend Growth Rate</t>
  </si>
  <si>
    <t>P/E Ratio</t>
  </si>
  <si>
    <t>MVE/BVE</t>
  </si>
  <si>
    <t>Depreciation and Amortization</t>
  </si>
  <si>
    <t>Interest Expense</t>
  </si>
  <si>
    <t>Interest Income</t>
  </si>
  <si>
    <t>Proceeds from Issuance of Debt</t>
  </si>
  <si>
    <t>Repayments of Debt</t>
  </si>
  <si>
    <t>Payment of Dividends</t>
  </si>
  <si>
    <t>Capital Expenditure</t>
  </si>
  <si>
    <t>Payment of Preferred Dividends</t>
  </si>
  <si>
    <t>Payment of Common Dividends</t>
  </si>
  <si>
    <t>Net Income ($ million)</t>
  </si>
  <si>
    <t>Earnings per Share (EPS)</t>
  </si>
  <si>
    <t>Market Capitalization ($ million)</t>
  </si>
  <si>
    <t>Total Interest-Bearing Debt ($ million)</t>
  </si>
  <si>
    <t>Cash and Cash Equivalents ($ million)</t>
  </si>
  <si>
    <t>Enterprise Value ($ million)</t>
  </si>
  <si>
    <t>EBITDA ($ million)</t>
  </si>
  <si>
    <t>EV/EBITDA Ratio</t>
  </si>
  <si>
    <t>Issue Date</t>
  </si>
  <si>
    <t>Yield to Maturity</t>
  </si>
  <si>
    <t>Maturity Date</t>
  </si>
  <si>
    <t>Issue Volume</t>
  </si>
  <si>
    <t>Denomination</t>
  </si>
  <si>
    <t>Coupon Rate</t>
  </si>
  <si>
    <t>Bond Prices</t>
  </si>
  <si>
    <t>Coupon</t>
  </si>
  <si>
    <t>Par Value</t>
  </si>
  <si>
    <t>Total</t>
  </si>
  <si>
    <t>Table of Content</t>
  </si>
  <si>
    <t>Case B: Credit Analysis</t>
  </si>
  <si>
    <t>Net Income ($m)</t>
  </si>
  <si>
    <t>Earnings per Share ($)</t>
  </si>
  <si>
    <t>Common Dividend per Share ($)</t>
  </si>
  <si>
    <t>Preferred Dividend ($m)</t>
  </si>
  <si>
    <t>Common Dividend per Share</t>
  </si>
  <si>
    <t>Dividend Yield</t>
  </si>
  <si>
    <t>Average</t>
  </si>
  <si>
    <t>Currency</t>
  </si>
  <si>
    <t>Conventional</t>
  </si>
  <si>
    <t>Deferred Considerations</t>
  </si>
  <si>
    <t>Debentures</t>
  </si>
  <si>
    <t>Bank Borrowings</t>
  </si>
  <si>
    <t>Short-Term Borrowings</t>
  </si>
  <si>
    <t>Revolving Credit Facilities</t>
  </si>
  <si>
    <t>Export Credit Agencies</t>
  </si>
  <si>
    <t>Public Investment Fund (PIF)</t>
  </si>
  <si>
    <t>Other Financing Arrangements</t>
  </si>
  <si>
    <t>Sharia Compliant</t>
  </si>
  <si>
    <t>Sukuk</t>
  </si>
  <si>
    <t>Murabaha</t>
  </si>
  <si>
    <t>Saudi Industrial Development Fund</t>
  </si>
  <si>
    <t>Ijarah</t>
  </si>
  <si>
    <t>Wakala</t>
  </si>
  <si>
    <t>SAR</t>
  </si>
  <si>
    <t>USD and KRW</t>
  </si>
  <si>
    <t>2023-2070</t>
  </si>
  <si>
    <t>2023-2045</t>
  </si>
  <si>
    <t>SAR and USD</t>
  </si>
  <si>
    <t>2023-2027</t>
  </si>
  <si>
    <t>2028-2046</t>
  </si>
  <si>
    <t>2024-2031</t>
  </si>
  <si>
    <t>2028-2032</t>
  </si>
  <si>
    <t>2025-2035</t>
  </si>
  <si>
    <t>2026-2039</t>
  </si>
  <si>
    <t>2028-2036</t>
  </si>
  <si>
    <t>Facility
(in millions of SAR)</t>
  </si>
  <si>
    <t>Balance on 31 December 2022
(in millions of SAR)</t>
  </si>
  <si>
    <t>Common Dividends ($m)</t>
  </si>
  <si>
    <t>Share Buybacks ($m)</t>
  </si>
  <si>
    <t>Dividend Payout Ratio</t>
  </si>
  <si>
    <t>Return to TOC</t>
  </si>
  <si>
    <t>Data</t>
  </si>
  <si>
    <t>Exhibit B1: Aramco's Debt in 2022</t>
  </si>
  <si>
    <t>Repurchase of Treasury Stock</t>
  </si>
  <si>
    <t>Excerpts from Aramco's Financial Statements</t>
  </si>
  <si>
    <t>Excerpts from Chevron's Financial Statements</t>
  </si>
  <si>
    <t>Excerpts from Exxon's Financial Statements</t>
  </si>
  <si>
    <t>Excerpts from Oxy's Financial Statements</t>
  </si>
  <si>
    <t>Stock Price at the Start of the Year</t>
  </si>
  <si>
    <t>Stock Price at the End of the Year</t>
  </si>
  <si>
    <t>TSR</t>
  </si>
  <si>
    <t>Exhibit A2: Stock Prices at the End of December 2018-2022 and the Previous Trading Day</t>
  </si>
  <si>
    <t>Exhibit A3: Dividends and Share Buybacks 2018-2022 and Q1 2023</t>
  </si>
  <si>
    <t>Q1 2023</t>
  </si>
  <si>
    <t>Exhibit A4: Costs of Equity</t>
  </si>
  <si>
    <t>Earnings per Share</t>
  </si>
  <si>
    <t>31 March 2023</t>
  </si>
  <si>
    <t>Stock Price 31 March 2023 (SP)</t>
  </si>
  <si>
    <t>Quarterly Common Dividend per Share Q1 2023</t>
  </si>
  <si>
    <t>Quarterly Common Dividend per Share Q2 2023</t>
  </si>
  <si>
    <t>Book Value of Equity (BVE) ($ million)</t>
  </si>
  <si>
    <t>Market Value of Equity (MVE) ($ million)</t>
  </si>
  <si>
    <t>EBIT ($ million)</t>
  </si>
  <si>
    <t>Depreciation and Amortization ($ million)</t>
  </si>
  <si>
    <t>Cost of Equity Conversions: EAIR to Periodical</t>
  </si>
  <si>
    <t>Dividend Growth Rate Conversions: Periodical to EAIR</t>
  </si>
  <si>
    <t>Interest Rate Conversions</t>
  </si>
  <si>
    <t>31 December 2020</t>
  </si>
  <si>
    <t>31 December 2019</t>
  </si>
  <si>
    <t>31 December 2018</t>
  </si>
  <si>
    <t>30 or 31 December 2021</t>
  </si>
  <si>
    <t>29 or 30 December 2022</t>
  </si>
  <si>
    <t>Question A4: Dividend Yields</t>
  </si>
  <si>
    <t>Case A: Equity Analysis and Valuation</t>
  </si>
  <si>
    <t>Question A5: Total Shareholder Returns</t>
  </si>
  <si>
    <t>Question A6: Dividend Payout Ratios</t>
  </si>
  <si>
    <t>Questions A4 and A6: Dividend Yields and Dividend Payout Ratios</t>
  </si>
  <si>
    <t>Question A7: Book Values and Market Values of Equity</t>
  </si>
  <si>
    <t>n/a</t>
  </si>
  <si>
    <t>(Effective) Annual Cost of Equity</t>
  </si>
  <si>
    <t>Effective Annual Dividend Growth Rate</t>
  </si>
  <si>
    <t>Questions A8 and A9: Valuation with the Dividend Discount Model</t>
  </si>
  <si>
    <t>Questions A10 and A11: Valuation with the Multiples</t>
  </si>
  <si>
    <t>ISIN</t>
  </si>
  <si>
    <t>Frequency of Coupon Payments per Year</t>
  </si>
  <si>
    <t>Benchmark U.S. Treasury Note</t>
  </si>
  <si>
    <t>Oxy's Note</t>
  </si>
  <si>
    <t>US674599CG82</t>
  </si>
  <si>
    <t>Credit Spread on Oxy's Note</t>
  </si>
  <si>
    <t>Exhibit B4: Term Sheet of Oxy’s 3.500% Senior Unsecured Notes due 2025</t>
  </si>
  <si>
    <t>Exhibit B4: Term Sheet</t>
  </si>
  <si>
    <t>Question B3: Credit Ratios</t>
  </si>
  <si>
    <t>Operating Profit Margin</t>
  </si>
  <si>
    <t>Interest Coverage Ratio</t>
  </si>
  <si>
    <t>Net Debt to EBITDA Ratio</t>
  </si>
  <si>
    <t>Question A8: Zero-Growth Model</t>
  </si>
  <si>
    <t>Question A9: Constant-Growth Model</t>
  </si>
  <si>
    <t>Question A10: Price to Earnings (P/E) Ratio</t>
  </si>
  <si>
    <t>Question A11: Enterprise Value to EBITDA Ratio</t>
  </si>
  <si>
    <t>Valuation with the Multiples</t>
  </si>
  <si>
    <t>Valuation with the Dividend Discount Model</t>
  </si>
  <si>
    <t>Revenue ($ million)</t>
  </si>
  <si>
    <t>Interest Expense ($ million)</t>
  </si>
  <si>
    <t>Short-Term Debt ($ million)</t>
  </si>
  <si>
    <t>Long-Term Debt ($ million)</t>
  </si>
  <si>
    <t>Net Debt ($ million)</t>
  </si>
  <si>
    <t>YTM</t>
  </si>
  <si>
    <t>Semi-Annual</t>
  </si>
  <si>
    <t>Annual</t>
  </si>
  <si>
    <t>Capital Expenditure ($ million)</t>
  </si>
  <si>
    <t>Capital Expenditure (CapEx) Intensity</t>
  </si>
  <si>
    <t>Asset Replacement Ratio</t>
  </si>
  <si>
    <t>CapEx ($ million)</t>
  </si>
  <si>
    <t>CapEx Intensity</t>
  </si>
  <si>
    <t>Dividends ($ million)</t>
  </si>
  <si>
    <t>Share Buybacks ($ million)</t>
  </si>
  <si>
    <t>Net Repayments of Debt ($ million)</t>
  </si>
  <si>
    <t>Cash Uses ($ million)</t>
  </si>
  <si>
    <t>Cash Flow from Operating Activities ($ millions)</t>
  </si>
  <si>
    <t>Residual Cash Flow ($ million)</t>
  </si>
  <si>
    <t>Residual Cash Flow</t>
  </si>
  <si>
    <t>Cash Uses Allocation</t>
  </si>
  <si>
    <t>Questions B5 and B6: Valuation of Oxy's Note</t>
  </si>
  <si>
    <t>Question B5: Cash Flows</t>
  </si>
  <si>
    <t>Valuation of Oxy's Note</t>
  </si>
  <si>
    <t>Question B6: Yields to Maturity (YTM)</t>
  </si>
  <si>
    <t>Question B7: Investment Ratios</t>
  </si>
  <si>
    <t>Question B9: Cash Deployment in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</si>
</sst>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&quot;$&quot;#,##0.00"/>
    <numFmt numFmtId="167" formatCode="[$SAR]\ #,##0.00"/>
    <numFmt numFmtId="168" formatCode="&quot;$&quot;#,##0"/>
    <numFmt numFmtId="169" formatCode="0.000%"/>
    <numFmt numFmtId="170" formatCode="[$-2409]dd\ mmmm\ 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231F20"/>
      <name val="Times New Roman"/>
      <family val="1"/>
    </font>
    <font>
      <b/>
      <sz val="12"/>
      <color rgb="FF231F2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rgb="FF0070C0"/>
      <name val="Times New Roman"/>
      <family val="1"/>
    </font>
    <font>
      <b/>
      <sz val="12"/>
      <name val="Times New Roman"/>
      <family val="1"/>
    </font>
    <font>
      <sz val="11"/>
      <color indexed="81"/>
      <name val="Times New Roman"/>
      <family val="1"/>
    </font>
    <font>
      <sz val="12"/>
      <color theme="1" tint="0.499984740745262"/>
      <name val="Times New Roman"/>
      <family val="1"/>
    </font>
    <font>
      <b/>
      <sz val="12"/>
      <color theme="1" tint="0.49998474074526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57">
    <xf numFmtId="0" fontId="0" fillId="0" borderId="0" xfId="0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9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center" wrapText="1" indent="1"/>
    </xf>
    <xf numFmtId="3" fontId="3" fillId="0" borderId="0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 indent="1"/>
    </xf>
    <xf numFmtId="3" fontId="3" fillId="0" borderId="9" xfId="0" applyNumberFormat="1" applyFont="1" applyBorder="1" applyAlignment="1">
      <alignment horizontal="right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3" fontId="2" fillId="0" borderId="0" xfId="0" applyNumberFormat="1" applyFont="1" applyBorder="1"/>
    <xf numFmtId="0" fontId="2" fillId="0" borderId="10" xfId="0" applyFont="1" applyBorder="1"/>
    <xf numFmtId="0" fontId="2" fillId="0" borderId="0" xfId="0" applyFont="1"/>
    <xf numFmtId="0" fontId="2" fillId="0" borderId="9" xfId="0" applyFont="1" applyBorder="1"/>
    <xf numFmtId="0" fontId="6" fillId="0" borderId="9" xfId="0" applyFont="1" applyBorder="1" applyAlignment="1">
      <alignment horizontal="right"/>
    </xf>
    <xf numFmtId="0" fontId="6" fillId="0" borderId="0" xfId="0" applyFont="1" applyBorder="1"/>
    <xf numFmtId="0" fontId="2" fillId="0" borderId="0" xfId="0" applyFont="1" applyBorder="1" applyAlignment="1">
      <alignment horizontal="left" indent="1"/>
    </xf>
    <xf numFmtId="3" fontId="2" fillId="0" borderId="0" xfId="0" applyNumberFormat="1" applyFont="1"/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6" fillId="0" borderId="9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5" fillId="0" borderId="0" xfId="0" applyFont="1" applyBorder="1"/>
    <xf numFmtId="0" fontId="2" fillId="0" borderId="0" xfId="0" applyFont="1" applyFill="1" applyBorder="1"/>
    <xf numFmtId="0" fontId="3" fillId="0" borderId="0" xfId="0" applyFont="1" applyAlignment="1">
      <alignment horizontal="left" indent="1"/>
    </xf>
    <xf numFmtId="0" fontId="3" fillId="0" borderId="9" xfId="0" applyFont="1" applyBorder="1" applyAlignment="1">
      <alignment horizontal="left" indent="1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3" fillId="0" borderId="0" xfId="0" applyFont="1" applyAlignment="1">
      <alignment horizontal="right"/>
    </xf>
    <xf numFmtId="0" fontId="3" fillId="0" borderId="9" xfId="0" applyFont="1" applyBorder="1" applyAlignment="1">
      <alignment horizontal="right"/>
    </xf>
    <xf numFmtId="0" fontId="6" fillId="2" borderId="0" xfId="0" applyFont="1" applyFill="1" applyBorder="1"/>
    <xf numFmtId="0" fontId="9" fillId="2" borderId="0" xfId="2" applyFont="1" applyFill="1" applyBorder="1" applyAlignment="1">
      <alignment horizontal="left" indent="1"/>
    </xf>
    <xf numFmtId="0" fontId="6" fillId="3" borderId="0" xfId="0" applyFont="1" applyFill="1" applyBorder="1"/>
    <xf numFmtId="0" fontId="9" fillId="3" borderId="0" xfId="2" applyFont="1" applyFill="1" applyAlignment="1">
      <alignment horizontal="left" indent="1"/>
    </xf>
    <xf numFmtId="0" fontId="6" fillId="4" borderId="0" xfId="0" applyFont="1" applyFill="1" applyBorder="1"/>
    <xf numFmtId="0" fontId="9" fillId="4" borderId="0" xfId="2" applyFont="1" applyFill="1" applyBorder="1" applyAlignment="1">
      <alignment horizontal="left" indent="1"/>
    </xf>
    <xf numFmtId="0" fontId="9" fillId="2" borderId="0" xfId="2" applyFont="1" applyFill="1" applyAlignment="1">
      <alignment horizontal="center"/>
    </xf>
    <xf numFmtId="0" fontId="9" fillId="2" borderId="0" xfId="2" applyFont="1" applyFill="1" applyBorder="1" applyAlignment="1">
      <alignment horizontal="center"/>
    </xf>
    <xf numFmtId="0" fontId="10" fillId="0" borderId="0" xfId="0" applyFont="1" applyBorder="1"/>
    <xf numFmtId="3" fontId="10" fillId="0" borderId="0" xfId="0" applyNumberFormat="1" applyFont="1" applyBorder="1" applyAlignment="1">
      <alignment horizontal="right" vertical="center" wrapText="1"/>
    </xf>
    <xf numFmtId="3" fontId="10" fillId="0" borderId="9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0" fontId="10" fillId="0" borderId="9" xfId="0" applyFont="1" applyBorder="1" applyAlignment="1">
      <alignment horizontal="right" vertical="center" wrapText="1"/>
    </xf>
    <xf numFmtId="167" fontId="10" fillId="0" borderId="0" xfId="0" applyNumberFormat="1" applyFont="1" applyBorder="1"/>
    <xf numFmtId="166" fontId="10" fillId="0" borderId="0" xfId="0" applyNumberFormat="1" applyFont="1" applyBorder="1"/>
    <xf numFmtId="164" fontId="10" fillId="0" borderId="9" xfId="0" applyNumberFormat="1" applyFont="1" applyBorder="1"/>
    <xf numFmtId="3" fontId="10" fillId="0" borderId="0" xfId="0" applyNumberFormat="1" applyFont="1" applyAlignment="1">
      <alignment horizontal="right"/>
    </xf>
    <xf numFmtId="3" fontId="10" fillId="0" borderId="9" xfId="0" applyNumberFormat="1" applyFont="1" applyBorder="1" applyAlignment="1">
      <alignment horizontal="right"/>
    </xf>
    <xf numFmtId="166" fontId="10" fillId="0" borderId="9" xfId="0" applyNumberFormat="1" applyFont="1" applyBorder="1"/>
    <xf numFmtId="4" fontId="10" fillId="0" borderId="0" xfId="0" applyNumberFormat="1" applyFont="1" applyBorder="1" applyAlignment="1">
      <alignment horizontal="right" vertical="center" wrapText="1"/>
    </xf>
    <xf numFmtId="4" fontId="10" fillId="0" borderId="9" xfId="0" applyNumberFormat="1" applyFont="1" applyBorder="1" applyAlignment="1">
      <alignment horizontal="right" vertical="center" wrapText="1"/>
    </xf>
    <xf numFmtId="3" fontId="10" fillId="0" borderId="11" xfId="0" applyNumberFormat="1" applyFont="1" applyBorder="1" applyAlignment="1">
      <alignment horizontal="right" vertical="center" wrapText="1"/>
    </xf>
    <xf numFmtId="166" fontId="7" fillId="0" borderId="0" xfId="0" applyNumberFormat="1" applyFont="1" applyBorder="1"/>
    <xf numFmtId="0" fontId="7" fillId="0" borderId="0" xfId="0" applyFont="1" applyBorder="1"/>
    <xf numFmtId="0" fontId="11" fillId="0" borderId="0" xfId="0" applyFont="1" applyBorder="1" applyAlignment="1">
      <alignment horizontal="right"/>
    </xf>
    <xf numFmtId="0" fontId="7" fillId="0" borderId="0" xfId="0" applyFont="1" applyBorder="1" applyAlignment="1">
      <alignment horizontal="left" indent="1"/>
    </xf>
    <xf numFmtId="0" fontId="7" fillId="0" borderId="9" xfId="0" applyFont="1" applyBorder="1"/>
    <xf numFmtId="0" fontId="11" fillId="0" borderId="9" xfId="0" applyFont="1" applyBorder="1" applyAlignment="1">
      <alignment horizontal="right"/>
    </xf>
    <xf numFmtId="168" fontId="7" fillId="0" borderId="0" xfId="0" applyNumberFormat="1" applyFont="1" applyBorder="1"/>
    <xf numFmtId="0" fontId="11" fillId="0" borderId="0" xfId="0" applyFont="1" applyBorder="1"/>
    <xf numFmtId="0" fontId="7" fillId="0" borderId="0" xfId="0" applyFont="1" applyBorder="1" applyAlignment="1">
      <alignment horizontal="left"/>
    </xf>
    <xf numFmtId="165" fontId="7" fillId="0" borderId="0" xfId="0" applyNumberFormat="1" applyFont="1" applyBorder="1"/>
    <xf numFmtId="0" fontId="7" fillId="0" borderId="9" xfId="0" applyFont="1" applyBorder="1" applyAlignment="1">
      <alignment horizontal="left"/>
    </xf>
    <xf numFmtId="0" fontId="7" fillId="0" borderId="7" xfId="0" applyFont="1" applyBorder="1"/>
    <xf numFmtId="166" fontId="7" fillId="5" borderId="0" xfId="0" applyNumberFormat="1" applyFont="1" applyFill="1" applyBorder="1"/>
    <xf numFmtId="164" fontId="7" fillId="5" borderId="9" xfId="1" applyNumberFormat="1" applyFont="1" applyFill="1" applyBorder="1"/>
    <xf numFmtId="168" fontId="7" fillId="5" borderId="0" xfId="0" applyNumberFormat="1" applyFont="1" applyFill="1" applyBorder="1"/>
    <xf numFmtId="165" fontId="7" fillId="5" borderId="9" xfId="0" applyNumberFormat="1" applyFont="1" applyFill="1" applyBorder="1"/>
    <xf numFmtId="164" fontId="7" fillId="5" borderId="0" xfId="0" applyNumberFormat="1" applyFont="1" applyFill="1" applyBorder="1"/>
    <xf numFmtId="164" fontId="7" fillId="5" borderId="9" xfId="0" applyNumberFormat="1" applyFont="1" applyFill="1" applyBorder="1"/>
    <xf numFmtId="3" fontId="7" fillId="5" borderId="9" xfId="0" applyNumberFormat="1" applyFont="1" applyFill="1" applyBorder="1"/>
    <xf numFmtId="168" fontId="7" fillId="5" borderId="9" xfId="0" applyNumberFormat="1" applyFont="1" applyFill="1" applyBorder="1"/>
    <xf numFmtId="169" fontId="10" fillId="5" borderId="0" xfId="0" applyNumberFormat="1" applyFont="1" applyFill="1" applyBorder="1"/>
    <xf numFmtId="0" fontId="3" fillId="0" borderId="0" xfId="0" applyFont="1" applyBorder="1" applyAlignment="1">
      <alignment horizontal="left" vertical="center" wrapText="1" indent="2"/>
    </xf>
    <xf numFmtId="0" fontId="3" fillId="0" borderId="0" xfId="0" applyFont="1" applyBorder="1" applyAlignment="1">
      <alignment horizontal="left" vertical="center" wrapText="1" indent="3"/>
    </xf>
    <xf numFmtId="0" fontId="6" fillId="0" borderId="5" xfId="0" applyFont="1" applyBorder="1"/>
    <xf numFmtId="4" fontId="2" fillId="0" borderId="5" xfId="0" applyNumberFormat="1" applyFont="1" applyBorder="1"/>
    <xf numFmtId="164" fontId="2" fillId="0" borderId="5" xfId="1" applyNumberFormat="1" applyFont="1" applyBorder="1"/>
    <xf numFmtId="164" fontId="2" fillId="0" borderId="7" xfId="1" applyNumberFormat="1" applyFont="1" applyBorder="1"/>
    <xf numFmtId="164" fontId="2" fillId="0" borderId="8" xfId="1" applyNumberFormat="1" applyFont="1" applyBorder="1"/>
    <xf numFmtId="166" fontId="7" fillId="5" borderId="9" xfId="0" applyNumberFormat="1" applyFont="1" applyFill="1" applyBorder="1"/>
    <xf numFmtId="164" fontId="6" fillId="5" borderId="9" xfId="1" applyNumberFormat="1" applyFont="1" applyFill="1" applyBorder="1"/>
    <xf numFmtId="17" fontId="6" fillId="0" borderId="9" xfId="0" quotePrefix="1" applyNumberFormat="1" applyFont="1" applyBorder="1"/>
    <xf numFmtId="17" fontId="6" fillId="0" borderId="0" xfId="0" quotePrefix="1" applyNumberFormat="1" applyFont="1" applyBorder="1"/>
    <xf numFmtId="2" fontId="2" fillId="0" borderId="0" xfId="0" applyNumberFormat="1" applyFont="1" applyBorder="1"/>
    <xf numFmtId="0" fontId="6" fillId="0" borderId="15" xfId="0" applyFont="1" applyBorder="1"/>
    <xf numFmtId="0" fontId="3" fillId="0" borderId="15" xfId="0" applyFont="1" applyBorder="1" applyAlignment="1">
      <alignment horizontal="justify" vertical="center" wrapText="1"/>
    </xf>
    <xf numFmtId="167" fontId="10" fillId="0" borderId="15" xfId="0" applyNumberFormat="1" applyFont="1" applyBorder="1"/>
    <xf numFmtId="166" fontId="10" fillId="0" borderId="15" xfId="0" applyNumberFormat="1" applyFont="1" applyBorder="1"/>
    <xf numFmtId="15" fontId="6" fillId="0" borderId="0" xfId="0" quotePrefix="1" applyNumberFormat="1" applyFont="1" applyBorder="1"/>
    <xf numFmtId="164" fontId="11" fillId="5" borderId="9" xfId="0" applyNumberFormat="1" applyFont="1" applyFill="1" applyBorder="1"/>
    <xf numFmtId="165" fontId="11" fillId="5" borderId="9" xfId="0" applyNumberFormat="1" applyFont="1" applyFill="1" applyBorder="1"/>
    <xf numFmtId="168" fontId="11" fillId="5" borderId="0" xfId="0" applyNumberFormat="1" applyFont="1" applyFill="1" applyBorder="1"/>
    <xf numFmtId="0" fontId="7" fillId="5" borderId="9" xfId="0" applyFont="1" applyFill="1" applyBorder="1"/>
    <xf numFmtId="166" fontId="11" fillId="5" borderId="0" xfId="0" applyNumberFormat="1" applyFont="1" applyFill="1" applyBorder="1"/>
    <xf numFmtId="166" fontId="7" fillId="0" borderId="0" xfId="0" applyNumberFormat="1" applyFont="1" applyFill="1" applyBorder="1"/>
    <xf numFmtId="168" fontId="7" fillId="0" borderId="0" xfId="0" applyNumberFormat="1" applyFont="1" applyFill="1" applyBorder="1"/>
    <xf numFmtId="0" fontId="2" fillId="0" borderId="0" xfId="0" applyFont="1" applyFill="1"/>
    <xf numFmtId="0" fontId="2" fillId="0" borderId="2" xfId="0" applyFont="1" applyFill="1" applyBorder="1"/>
    <xf numFmtId="165" fontId="7" fillId="0" borderId="0" xfId="0" applyNumberFormat="1" applyFont="1" applyFill="1" applyBorder="1"/>
    <xf numFmtId="0" fontId="2" fillId="0" borderId="7" xfId="0" applyFont="1" applyFill="1" applyBorder="1"/>
    <xf numFmtId="0" fontId="11" fillId="0" borderId="2" xfId="0" applyFont="1" applyBorder="1" applyAlignment="1">
      <alignment horizontal="right"/>
    </xf>
    <xf numFmtId="0" fontId="11" fillId="0" borderId="3" xfId="0" applyFont="1" applyFill="1" applyBorder="1" applyAlignment="1">
      <alignment horizontal="right"/>
    </xf>
    <xf numFmtId="0" fontId="6" fillId="0" borderId="5" xfId="0" applyFont="1" applyFill="1" applyBorder="1" applyAlignment="1">
      <alignment horizontal="right"/>
    </xf>
    <xf numFmtId="0" fontId="11" fillId="0" borderId="5" xfId="0" applyFont="1" applyFill="1" applyBorder="1" applyAlignment="1">
      <alignment horizontal="right"/>
    </xf>
    <xf numFmtId="166" fontId="7" fillId="0" borderId="5" xfId="0" applyNumberFormat="1" applyFont="1" applyFill="1" applyBorder="1"/>
    <xf numFmtId="164" fontId="7" fillId="0" borderId="5" xfId="1" applyNumberFormat="1" applyFont="1" applyFill="1" applyBorder="1"/>
    <xf numFmtId="166" fontId="11" fillId="0" borderId="5" xfId="0" applyNumberFormat="1" applyFont="1" applyFill="1" applyBorder="1"/>
    <xf numFmtId="165" fontId="7" fillId="0" borderId="5" xfId="0" applyNumberFormat="1" applyFont="1" applyFill="1" applyBorder="1"/>
    <xf numFmtId="165" fontId="7" fillId="0" borderId="7" xfId="0" applyNumberFormat="1" applyFont="1" applyBorder="1"/>
    <xf numFmtId="165" fontId="7" fillId="0" borderId="8" xfId="0" applyNumberFormat="1" applyFont="1" applyFill="1" applyBorder="1"/>
    <xf numFmtId="0" fontId="11" fillId="0" borderId="2" xfId="0" applyFont="1" applyBorder="1"/>
    <xf numFmtId="0" fontId="7" fillId="0" borderId="2" xfId="0" applyFont="1" applyBorder="1"/>
    <xf numFmtId="0" fontId="7" fillId="0" borderId="3" xfId="0" applyFont="1" applyFill="1" applyBorder="1"/>
    <xf numFmtId="0" fontId="7" fillId="0" borderId="5" xfId="0" applyFont="1" applyFill="1" applyBorder="1"/>
    <xf numFmtId="164" fontId="7" fillId="0" borderId="5" xfId="0" applyNumberFormat="1" applyFont="1" applyFill="1" applyBorder="1"/>
    <xf numFmtId="164" fontId="11" fillId="0" borderId="5" xfId="0" applyNumberFormat="1" applyFont="1" applyFill="1" applyBorder="1"/>
    <xf numFmtId="0" fontId="11" fillId="0" borderId="7" xfId="0" applyFont="1" applyBorder="1"/>
    <xf numFmtId="164" fontId="11" fillId="0" borderId="7" xfId="0" applyNumberFormat="1" applyFont="1" applyFill="1" applyBorder="1"/>
    <xf numFmtId="164" fontId="11" fillId="0" borderId="8" xfId="0" applyNumberFormat="1" applyFont="1" applyFill="1" applyBorder="1"/>
    <xf numFmtId="168" fontId="7" fillId="0" borderId="5" xfId="0" applyNumberFormat="1" applyFont="1" applyFill="1" applyBorder="1"/>
    <xf numFmtId="3" fontId="7" fillId="0" borderId="5" xfId="0" applyNumberFormat="1" applyFont="1" applyFill="1" applyBorder="1"/>
    <xf numFmtId="165" fontId="11" fillId="0" borderId="5" xfId="0" applyNumberFormat="1" applyFont="1" applyFill="1" applyBorder="1"/>
    <xf numFmtId="165" fontId="7" fillId="0" borderId="2" xfId="0" applyNumberFormat="1" applyFont="1" applyBorder="1"/>
    <xf numFmtId="165" fontId="7" fillId="0" borderId="3" xfId="0" applyNumberFormat="1" applyFont="1" applyFill="1" applyBorder="1"/>
    <xf numFmtId="165" fontId="11" fillId="0" borderId="7" xfId="0" applyNumberFormat="1" applyFont="1" applyFill="1" applyBorder="1"/>
    <xf numFmtId="165" fontId="11" fillId="0" borderId="8" xfId="0" applyNumberFormat="1" applyFont="1" applyFill="1" applyBorder="1"/>
    <xf numFmtId="164" fontId="6" fillId="5" borderId="15" xfId="1" applyNumberFormat="1" applyFont="1" applyFill="1" applyBorder="1"/>
    <xf numFmtId="0" fontId="11" fillId="0" borderId="9" xfId="0" applyFont="1" applyBorder="1"/>
    <xf numFmtId="0" fontId="7" fillId="0" borderId="0" xfId="0" applyFont="1" applyBorder="1" applyAlignment="1">
      <alignment horizontal="left" vertical="center" wrapText="1" indent="1"/>
    </xf>
    <xf numFmtId="166" fontId="7" fillId="0" borderId="0" xfId="0" applyNumberFormat="1" applyFont="1" applyBorder="1" applyAlignment="1">
      <alignment horizontal="right"/>
    </xf>
    <xf numFmtId="164" fontId="2" fillId="0" borderId="9" xfId="1" applyNumberFormat="1" applyFont="1" applyBorder="1" applyAlignment="1">
      <alignment horizontal="right"/>
    </xf>
    <xf numFmtId="166" fontId="7" fillId="0" borderId="9" xfId="0" applyNumberFormat="1" applyFont="1" applyBorder="1" applyAlignment="1">
      <alignment horizontal="right"/>
    </xf>
    <xf numFmtId="166" fontId="7" fillId="0" borderId="15" xfId="0" applyNumberFormat="1" applyFont="1" applyBorder="1" applyAlignment="1">
      <alignment horizontal="right"/>
    </xf>
    <xf numFmtId="0" fontId="2" fillId="0" borderId="8" xfId="0" applyFont="1" applyFill="1" applyBorder="1"/>
    <xf numFmtId="10" fontId="3" fillId="0" borderId="0" xfId="0" applyNumberFormat="1" applyFont="1" applyAlignment="1">
      <alignment horizontal="right"/>
    </xf>
    <xf numFmtId="0" fontId="6" fillId="0" borderId="11" xfId="0" applyFont="1" applyBorder="1"/>
    <xf numFmtId="0" fontId="2" fillId="0" borderId="11" xfId="0" applyFont="1" applyBorder="1" applyAlignment="1">
      <alignment horizontal="right"/>
    </xf>
    <xf numFmtId="168" fontId="10" fillId="0" borderId="0" xfId="0" applyNumberFormat="1" applyFont="1" applyBorder="1"/>
    <xf numFmtId="0" fontId="10" fillId="0" borderId="0" xfId="0" applyFont="1" applyAlignment="1">
      <alignment horizontal="right"/>
    </xf>
    <xf numFmtId="169" fontId="10" fillId="0" borderId="0" xfId="0" applyNumberFormat="1" applyFont="1" applyAlignment="1">
      <alignment horizontal="right"/>
    </xf>
    <xf numFmtId="169" fontId="2" fillId="0" borderId="9" xfId="0" applyNumberFormat="1" applyFont="1" applyBorder="1" applyAlignment="1">
      <alignment horizontal="right"/>
    </xf>
    <xf numFmtId="0" fontId="13" fillId="0" borderId="1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0" xfId="0" applyFont="1" applyBorder="1"/>
    <xf numFmtId="0" fontId="14" fillId="0" borderId="5" xfId="0" applyFont="1" applyBorder="1" applyAlignment="1">
      <alignment horizontal="center"/>
    </xf>
    <xf numFmtId="0" fontId="14" fillId="0" borderId="9" xfId="0" applyFont="1" applyBorder="1" applyAlignment="1">
      <alignment horizontal="right"/>
    </xf>
    <xf numFmtId="164" fontId="13" fillId="5" borderId="0" xfId="1" applyNumberFormat="1" applyFont="1" applyFill="1" applyBorder="1" applyAlignment="1">
      <alignment horizontal="right"/>
    </xf>
    <xf numFmtId="0" fontId="13" fillId="5" borderId="0" xfId="0" applyFont="1" applyFill="1" applyBorder="1"/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14" fillId="0" borderId="2" xfId="0" applyFont="1" applyBorder="1" applyAlignment="1">
      <alignment horizontal="left"/>
    </xf>
    <xf numFmtId="10" fontId="13" fillId="5" borderId="0" xfId="0" applyNumberFormat="1" applyFont="1" applyFill="1" applyBorder="1"/>
    <xf numFmtId="0" fontId="6" fillId="0" borderId="5" xfId="0" applyFont="1" applyFill="1" applyBorder="1" applyAlignment="1">
      <alignment horizontal="center"/>
    </xf>
    <xf numFmtId="0" fontId="2" fillId="0" borderId="3" xfId="0" applyFont="1" applyFill="1" applyBorder="1"/>
    <xf numFmtId="0" fontId="2" fillId="0" borderId="5" xfId="0" applyFont="1" applyFill="1" applyBorder="1"/>
    <xf numFmtId="0" fontId="6" fillId="0" borderId="5" xfId="0" applyFont="1" applyFill="1" applyBorder="1"/>
    <xf numFmtId="164" fontId="6" fillId="0" borderId="5" xfId="1" applyNumberFormat="1" applyFont="1" applyFill="1" applyBorder="1"/>
    <xf numFmtId="2" fontId="6" fillId="5" borderId="9" xfId="1" applyNumberFormat="1" applyFont="1" applyFill="1" applyBorder="1"/>
    <xf numFmtId="165" fontId="6" fillId="5" borderId="9" xfId="1" applyNumberFormat="1" applyFont="1" applyFill="1" applyBorder="1"/>
    <xf numFmtId="0" fontId="2" fillId="0" borderId="0" xfId="0" applyFont="1" applyBorder="1" applyAlignment="1">
      <alignment horizontal="left" indent="2"/>
    </xf>
    <xf numFmtId="170" fontId="2" fillId="0" borderId="0" xfId="0" applyNumberFormat="1" applyFont="1" applyFill="1" applyBorder="1" applyAlignment="1">
      <alignment horizontal="left"/>
    </xf>
    <xf numFmtId="170" fontId="2" fillId="0" borderId="0" xfId="0" applyNumberFormat="1" applyFont="1" applyFill="1" applyBorder="1" applyAlignment="1">
      <alignment horizontal="left" indent="1"/>
    </xf>
    <xf numFmtId="170" fontId="10" fillId="0" borderId="0" xfId="0" applyNumberFormat="1" applyFont="1" applyFill="1" applyBorder="1" applyAlignment="1">
      <alignment horizontal="right" indent="1"/>
    </xf>
    <xf numFmtId="170" fontId="10" fillId="0" borderId="0" xfId="0" applyNumberFormat="1" applyFont="1" applyFill="1" applyBorder="1" applyAlignment="1"/>
    <xf numFmtId="169" fontId="7" fillId="5" borderId="0" xfId="0" applyNumberFormat="1" applyFont="1" applyFill="1" applyBorder="1"/>
    <xf numFmtId="1" fontId="7" fillId="5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9" xfId="0" applyFont="1" applyFill="1" applyBorder="1"/>
    <xf numFmtId="0" fontId="6" fillId="0" borderId="9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/>
    <xf numFmtId="170" fontId="6" fillId="0" borderId="9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 indent="1"/>
    </xf>
    <xf numFmtId="0" fontId="6" fillId="0" borderId="0" xfId="0" applyFont="1" applyFill="1" applyBorder="1" applyAlignment="1">
      <alignment horizontal="left" indent="1"/>
    </xf>
    <xf numFmtId="0" fontId="2" fillId="0" borderId="1" xfId="0" applyFont="1" applyFill="1" applyBorder="1"/>
    <xf numFmtId="0" fontId="2" fillId="0" borderId="4" xfId="0" applyFont="1" applyFill="1" applyBorder="1"/>
    <xf numFmtId="0" fontId="2" fillId="0" borderId="6" xfId="0" applyFont="1" applyFill="1" applyBorder="1"/>
    <xf numFmtId="170" fontId="2" fillId="0" borderId="9" xfId="0" applyNumberFormat="1" applyFont="1" applyFill="1" applyBorder="1" applyAlignment="1">
      <alignment horizontal="left"/>
    </xf>
    <xf numFmtId="166" fontId="2" fillId="0" borderId="5" xfId="0" applyNumberFormat="1" applyFont="1" applyFill="1" applyBorder="1" applyAlignment="1">
      <alignment horizontal="right"/>
    </xf>
    <xf numFmtId="166" fontId="2" fillId="0" borderId="5" xfId="0" applyNumberFormat="1" applyFont="1" applyFill="1" applyBorder="1"/>
    <xf numFmtId="170" fontId="2" fillId="0" borderId="7" xfId="0" applyNumberFormat="1" applyFont="1" applyFill="1" applyBorder="1" applyAlignment="1">
      <alignment horizontal="left"/>
    </xf>
    <xf numFmtId="166" fontId="2" fillId="0" borderId="7" xfId="0" applyNumberFormat="1" applyFont="1" applyFill="1" applyBorder="1"/>
    <xf numFmtId="166" fontId="2" fillId="0" borderId="8" xfId="0" applyNumberFormat="1" applyFont="1" applyFill="1" applyBorder="1"/>
    <xf numFmtId="170" fontId="2" fillId="0" borderId="2" xfId="0" applyNumberFormat="1" applyFont="1" applyFill="1" applyBorder="1" applyAlignment="1">
      <alignment horizontal="left"/>
    </xf>
    <xf numFmtId="166" fontId="2" fillId="0" borderId="2" xfId="0" applyNumberFormat="1" applyFont="1" applyFill="1" applyBorder="1"/>
    <xf numFmtId="166" fontId="2" fillId="0" borderId="3" xfId="0" applyNumberFormat="1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 wrapText="1"/>
    </xf>
    <xf numFmtId="168" fontId="11" fillId="5" borderId="9" xfId="0" applyNumberFormat="1" applyFont="1" applyFill="1" applyBorder="1"/>
    <xf numFmtId="0" fontId="2" fillId="6" borderId="0" xfId="0" applyFont="1" applyFill="1" applyBorder="1"/>
    <xf numFmtId="9" fontId="7" fillId="5" borderId="0" xfId="1" applyNumberFormat="1" applyFont="1" applyFill="1" applyBorder="1"/>
    <xf numFmtId="0" fontId="13" fillId="0" borderId="9" xfId="0" applyFont="1" applyBorder="1"/>
    <xf numFmtId="10" fontId="13" fillId="0" borderId="9" xfId="1" applyNumberFormat="1" applyFont="1" applyBorder="1"/>
    <xf numFmtId="0" fontId="7" fillId="6" borderId="0" xfId="0" applyFont="1" applyFill="1" applyBorder="1"/>
    <xf numFmtId="0" fontId="7" fillId="6" borderId="3" xfId="0" applyFont="1" applyFill="1" applyBorder="1"/>
    <xf numFmtId="0" fontId="11" fillId="6" borderId="5" xfId="0" applyFont="1" applyFill="1" applyBorder="1" applyAlignment="1">
      <alignment horizontal="right"/>
    </xf>
    <xf numFmtId="168" fontId="7" fillId="6" borderId="5" xfId="0" applyNumberFormat="1" applyFont="1" applyFill="1" applyBorder="1"/>
    <xf numFmtId="168" fontId="11" fillId="6" borderId="5" xfId="0" applyNumberFormat="1" applyFont="1" applyFill="1" applyBorder="1"/>
    <xf numFmtId="166" fontId="7" fillId="6" borderId="5" xfId="0" applyNumberFormat="1" applyFont="1" applyFill="1" applyBorder="1"/>
    <xf numFmtId="0" fontId="2" fillId="6" borderId="8" xfId="0" applyFont="1" applyFill="1" applyBorder="1"/>
    <xf numFmtId="0" fontId="2" fillId="6" borderId="7" xfId="0" applyFont="1" applyFill="1" applyBorder="1"/>
    <xf numFmtId="9" fontId="11" fillId="5" borderId="9" xfId="1" applyNumberFormat="1" applyFont="1" applyFill="1" applyBorder="1"/>
    <xf numFmtId="166" fontId="7" fillId="0" borderId="7" xfId="0" applyNumberFormat="1" applyFont="1" applyBorder="1"/>
    <xf numFmtId="0" fontId="2" fillId="6" borderId="2" xfId="0" applyFont="1" applyFill="1" applyBorder="1"/>
    <xf numFmtId="168" fontId="11" fillId="6" borderId="7" xfId="0" applyNumberFormat="1" applyFont="1" applyFill="1" applyBorder="1"/>
    <xf numFmtId="166" fontId="2" fillId="5" borderId="0" xfId="0" applyNumberFormat="1" applyFont="1" applyFill="1" applyBorder="1"/>
    <xf numFmtId="166" fontId="2" fillId="5" borderId="9" xfId="0" applyNumberFormat="1" applyFont="1" applyFill="1" applyBorder="1"/>
    <xf numFmtId="169" fontId="2" fillId="5" borderId="0" xfId="0" applyNumberFormat="1" applyFont="1" applyFill="1" applyBorder="1" applyAlignment="1">
      <alignment horizontal="right"/>
    </xf>
    <xf numFmtId="169" fontId="6" fillId="5" borderId="0" xfId="0" applyNumberFormat="1" applyFont="1" applyFill="1" applyBorder="1" applyAlignment="1">
      <alignment horizontal="right"/>
    </xf>
    <xf numFmtId="166" fontId="2" fillId="5" borderId="0" xfId="0" applyNumberFormat="1" applyFont="1" applyFill="1" applyBorder="1" applyAlignment="1">
      <alignment horizontal="right"/>
    </xf>
    <xf numFmtId="0" fontId="5" fillId="0" borderId="9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6" fillId="0" borderId="1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170" fontId="6" fillId="0" borderId="12" xfId="0" applyNumberFormat="1" applyFont="1" applyFill="1" applyBorder="1" applyAlignment="1">
      <alignment horizontal="center"/>
    </xf>
    <xf numFmtId="170" fontId="6" fillId="0" borderId="13" xfId="0" applyNumberFormat="1" applyFont="1" applyFill="1" applyBorder="1" applyAlignment="1">
      <alignment horizontal="center"/>
    </xf>
    <xf numFmtId="170" fontId="6" fillId="0" borderId="14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Petitt/Dropbox%20(ASU)/Degree%20Programs/TGM%20517/2023%20Fall/Session%204/Excel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gle Cash Flow"/>
      <sheetName val="Perpetuity"/>
      <sheetName val="Growing Perpetuity"/>
      <sheetName val="Annuity"/>
      <sheetName val="Growing Annuity"/>
      <sheetName val="Interest Rate Conversion"/>
    </sheetNames>
    <sheetDataSet>
      <sheetData sheetId="0">
        <row r="3">
          <cell r="D3">
            <v>1</v>
          </cell>
        </row>
        <row r="4">
          <cell r="D4">
            <v>1</v>
          </cell>
        </row>
        <row r="5">
          <cell r="D5">
            <v>0.1</v>
          </cell>
        </row>
      </sheetData>
      <sheetData sheetId="1">
        <row r="5">
          <cell r="D5">
            <v>1</v>
          </cell>
        </row>
        <row r="6">
          <cell r="D6">
            <v>0.1</v>
          </cell>
        </row>
      </sheetData>
      <sheetData sheetId="2">
        <row r="5">
          <cell r="D5">
            <v>1</v>
          </cell>
        </row>
        <row r="6">
          <cell r="D6">
            <v>0.01</v>
          </cell>
        </row>
        <row r="7">
          <cell r="D7">
            <v>0.1</v>
          </cell>
        </row>
      </sheetData>
      <sheetData sheetId="3">
        <row r="5">
          <cell r="D5">
            <v>1</v>
          </cell>
        </row>
        <row r="6">
          <cell r="D6">
            <v>10</v>
          </cell>
        </row>
        <row r="7">
          <cell r="D7">
            <v>0.1</v>
          </cell>
        </row>
      </sheetData>
      <sheetData sheetId="4">
        <row r="5">
          <cell r="D5">
            <v>1</v>
          </cell>
        </row>
        <row r="6">
          <cell r="D6">
            <v>0.01</v>
          </cell>
        </row>
        <row r="7">
          <cell r="D7">
            <v>10</v>
          </cell>
        </row>
        <row r="8">
          <cell r="D8">
            <v>0.1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A31D-C2AA-4181-B6F7-C6D402F9EF3B}">
  <sheetPr>
    <pageSetUpPr fitToPage="1"/>
  </sheetPr>
  <dimension ref="B1:L28"/>
  <sheetViews>
    <sheetView showGridLines="0" tabSelected="1" workbookViewId="0">
      <selection activeCell="C3" sqref="C3"/>
    </sheetView>
  </sheetViews>
  <sheetFormatPr defaultColWidth="12.7109375" defaultRowHeight="15.75" x14ac:dyDescent="0.25"/>
  <cols>
    <col min="1" max="2" width="2.7109375" style="19" customWidth="1"/>
    <col min="3" max="3" width="84.7109375" style="19" customWidth="1"/>
    <col min="4" max="4" width="2.7109375" style="19" customWidth="1"/>
    <col min="5" max="16384" width="12.7109375" style="19"/>
  </cols>
  <sheetData>
    <row r="1" spans="2:12" ht="16.5" thickBot="1" x14ac:dyDescent="0.3"/>
    <row r="2" spans="2:12" x14ac:dyDescent="0.25">
      <c r="B2" s="2"/>
      <c r="C2" s="3"/>
      <c r="D2" s="4"/>
    </row>
    <row r="3" spans="2:12" x14ac:dyDescent="0.25">
      <c r="B3" s="5"/>
      <c r="C3" s="31" t="s">
        <v>69</v>
      </c>
      <c r="D3" s="6"/>
    </row>
    <row r="4" spans="2:12" x14ac:dyDescent="0.25">
      <c r="B4" s="5"/>
      <c r="C4" s="1"/>
      <c r="D4" s="6"/>
      <c r="I4" s="24"/>
      <c r="J4" s="24"/>
      <c r="K4" s="24"/>
      <c r="L4" s="24"/>
    </row>
    <row r="5" spans="2:12" x14ac:dyDescent="0.25">
      <c r="B5" s="5"/>
      <c r="C5" s="45" t="s">
        <v>112</v>
      </c>
      <c r="D5" s="6"/>
      <c r="I5" s="24"/>
      <c r="J5" s="24"/>
      <c r="K5" s="24"/>
      <c r="L5" s="24"/>
    </row>
    <row r="6" spans="2:12" x14ac:dyDescent="0.25">
      <c r="B6" s="5"/>
      <c r="C6" s="46" t="s">
        <v>115</v>
      </c>
      <c r="D6" s="6"/>
    </row>
    <row r="7" spans="2:12" x14ac:dyDescent="0.25">
      <c r="B7" s="5"/>
      <c r="C7" s="46" t="s">
        <v>116</v>
      </c>
      <c r="D7" s="6"/>
    </row>
    <row r="8" spans="2:12" x14ac:dyDescent="0.25">
      <c r="B8" s="5"/>
      <c r="C8" s="46" t="s">
        <v>117</v>
      </c>
      <c r="D8" s="6"/>
    </row>
    <row r="9" spans="2:12" x14ac:dyDescent="0.25">
      <c r="B9" s="5"/>
      <c r="C9" s="46" t="s">
        <v>118</v>
      </c>
      <c r="D9" s="6"/>
    </row>
    <row r="10" spans="2:12" x14ac:dyDescent="0.25">
      <c r="B10" s="5"/>
      <c r="C10" s="46" t="s">
        <v>122</v>
      </c>
      <c r="D10" s="6"/>
    </row>
    <row r="11" spans="2:12" x14ac:dyDescent="0.25">
      <c r="B11" s="5"/>
      <c r="C11" s="46" t="s">
        <v>123</v>
      </c>
      <c r="D11" s="6"/>
    </row>
    <row r="12" spans="2:12" x14ac:dyDescent="0.25">
      <c r="B12" s="5"/>
      <c r="C12" s="46" t="s">
        <v>125</v>
      </c>
      <c r="D12" s="6"/>
    </row>
    <row r="13" spans="2:12" x14ac:dyDescent="0.25">
      <c r="B13" s="5"/>
      <c r="C13" s="46" t="s">
        <v>113</v>
      </c>
      <c r="D13" s="6"/>
    </row>
    <row r="14" spans="2:12" x14ac:dyDescent="0.25">
      <c r="B14" s="5"/>
      <c r="C14" s="46" t="s">
        <v>160</v>
      </c>
      <c r="D14" s="6"/>
    </row>
    <row r="15" spans="2:12" x14ac:dyDescent="0.25">
      <c r="B15" s="5"/>
      <c r="C15" s="1"/>
      <c r="D15" s="6"/>
    </row>
    <row r="16" spans="2:12" x14ac:dyDescent="0.25">
      <c r="B16" s="5"/>
      <c r="C16" s="47" t="s">
        <v>144</v>
      </c>
      <c r="D16" s="6"/>
    </row>
    <row r="17" spans="2:4" x14ac:dyDescent="0.25">
      <c r="B17" s="5"/>
      <c r="C17" s="48" t="s">
        <v>147</v>
      </c>
      <c r="D17" s="6"/>
    </row>
    <row r="18" spans="2:4" x14ac:dyDescent="0.25">
      <c r="B18" s="5"/>
      <c r="C18" s="48" t="s">
        <v>145</v>
      </c>
      <c r="D18" s="6"/>
    </row>
    <row r="19" spans="2:4" x14ac:dyDescent="0.25">
      <c r="B19" s="5"/>
      <c r="C19" s="48" t="s">
        <v>148</v>
      </c>
      <c r="D19" s="6"/>
    </row>
    <row r="20" spans="2:4" x14ac:dyDescent="0.25">
      <c r="B20" s="5"/>
      <c r="C20" s="48" t="s">
        <v>152</v>
      </c>
      <c r="D20" s="6"/>
    </row>
    <row r="21" spans="2:4" x14ac:dyDescent="0.25">
      <c r="B21" s="5"/>
      <c r="C21" s="48" t="s">
        <v>153</v>
      </c>
      <c r="D21" s="6"/>
    </row>
    <row r="22" spans="2:4" x14ac:dyDescent="0.25">
      <c r="B22" s="5"/>
      <c r="C22" s="1"/>
      <c r="D22" s="6"/>
    </row>
    <row r="23" spans="2:4" x14ac:dyDescent="0.25">
      <c r="B23" s="5"/>
      <c r="C23" s="49" t="s">
        <v>70</v>
      </c>
      <c r="D23" s="6"/>
    </row>
    <row r="24" spans="2:4" x14ac:dyDescent="0.25">
      <c r="B24" s="5"/>
      <c r="C24" s="50" t="s">
        <v>162</v>
      </c>
      <c r="D24" s="6"/>
    </row>
    <row r="25" spans="2:4" x14ac:dyDescent="0.25">
      <c r="B25" s="5"/>
      <c r="C25" s="50" t="s">
        <v>193</v>
      </c>
      <c r="D25" s="6"/>
    </row>
    <row r="26" spans="2:4" x14ac:dyDescent="0.25">
      <c r="B26" s="5"/>
      <c r="C26" s="50" t="s">
        <v>197</v>
      </c>
      <c r="D26" s="6"/>
    </row>
    <row r="27" spans="2:4" x14ac:dyDescent="0.25">
      <c r="B27" s="5"/>
      <c r="C27" s="50" t="s">
        <v>198</v>
      </c>
      <c r="D27" s="6"/>
    </row>
    <row r="28" spans="2:4" ht="16.5" thickBot="1" x14ac:dyDescent="0.3">
      <c r="B28" s="14"/>
      <c r="C28" s="15"/>
      <c r="D28" s="16"/>
    </row>
  </sheetData>
  <hyperlinks>
    <hyperlink ref="C6" location="Aramco!A1" display="Appendix 1A: Aramco" xr:uid="{E896585A-71D9-44E8-BBF5-88B8A88B923C}"/>
    <hyperlink ref="C7" location="Chevron!A1" display="Appendix 1B: Chevron" xr:uid="{B1EA245B-BB18-44E8-985E-8B3AEFA6D625}"/>
    <hyperlink ref="C8" location="Exxon!A1" display="Appendix 1C: Exxon" xr:uid="{D64DE38E-33AF-4D74-8CC1-1B2AE50479B8}"/>
    <hyperlink ref="C9" location="Oxy!A1" display="Appendix 1D: Oxy" xr:uid="{CC2179D3-F5C0-497C-8F9A-0BA8FF50CB85}"/>
    <hyperlink ref="C19" location="'Question A7'!A1" display="Question A7: Book Values and Market Values of Equity" xr:uid="{BA96980A-6339-47F7-9C37-9C9E1FD6AD1F}"/>
    <hyperlink ref="C20" location="'Questions A8 and A9'!A1" display="Questions A8 and A9: Valuation with the Dividend Discount Model" xr:uid="{55AF98E3-4DD2-4693-9B91-7343432197D5}"/>
    <hyperlink ref="C21" location="'Questions A10 and A11'!A1" display="Questions A10 and A11: Valuations with the Multiples" xr:uid="{7C22956F-8AD5-41C7-A4F0-08AC0A587861}"/>
    <hyperlink ref="C13" location="'Exhibit B1'!A1" display="Exhibit B1: Aramco's Debt" xr:uid="{85C82ED5-F7CB-4F23-8E3B-CD3761DBCBA7}"/>
    <hyperlink ref="C18" location="'Question A5'!A1" display="Question A5: Total Shareholder Returns" xr:uid="{F6BB0B72-3101-4541-9FF3-5D08276187F0}"/>
    <hyperlink ref="C24" location="'Question B3'!A1" display="Question B3: Credit Ratios" xr:uid="{B6ACAA19-5889-4A8F-B636-D1670F4788B6}"/>
    <hyperlink ref="C25" location="'Questions B5 and B6'!A1" display="Questions B5 and B6: Valuation of Oxy's Note" xr:uid="{81D815F1-1FB2-4BE5-A2AF-C5D27C422715}"/>
    <hyperlink ref="C10" location="'Exhibit A2'!A1" display="Exhibit A2: Stock Prices at the End of the Fiscal Year 2018-2022" xr:uid="{6F5F184A-16CC-40AC-9233-A334D7DAAFE4}"/>
    <hyperlink ref="C11" location="'Exhibit A3'!A1" display="Exhibit A3: Dividends and Share Buybacks 2018-2022" xr:uid="{C4522227-1774-47A3-BF9A-D4622D2C9AB6}"/>
    <hyperlink ref="C12" location="'Exhibit A4'!A1" display="Exhibit A4: Costs of Equity" xr:uid="{EB0E5046-A27A-4A9F-9ED8-09361B8495E0}"/>
    <hyperlink ref="C17" location="'Questions A4 and A6'!A1" display="Questions A4 and A6: Dividend Yields and Dividend Payout Ratios" xr:uid="{EB2929C8-DF91-481C-83CB-2C51979FD7F7}"/>
    <hyperlink ref="C14" location="'Exhibit B4'!A1" display="Exhibit B4: Term Sheet of Oxy’s 3.500% Senior Unsecured Notes due 2025" xr:uid="{50CF635D-612D-4758-BBFF-A114C8918D4B}"/>
    <hyperlink ref="C26" location="'Question B7'!A1" display="Question B7: Investments" xr:uid="{069393EE-D957-473E-A007-ED062F05DD22}"/>
    <hyperlink ref="C27" location="'Question B9'!A1" display="Question B9: Cash Deployment in 2022" xr:uid="{C5E202ED-2458-47A3-915E-242CC565F25A}"/>
  </hyperlinks>
  <pageMargins left="0.2" right="0.2" top="0.25" bottom="0.25" header="0.3" footer="0.3"/>
  <pageSetup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3059-FB22-42EF-A4BB-7CDD29B38A1E}">
  <sheetPr>
    <tabColor theme="8" tint="0.59999389629810485"/>
    <pageSetUpPr fitToPage="1"/>
  </sheetPr>
  <dimension ref="B1:R39"/>
  <sheetViews>
    <sheetView showGridLines="0" workbookViewId="0">
      <selection activeCell="C3" sqref="C3:O3"/>
    </sheetView>
  </sheetViews>
  <sheetFormatPr defaultColWidth="12.7109375" defaultRowHeight="15.75" customHeight="1" x14ac:dyDescent="0.25"/>
  <cols>
    <col min="1" max="2" width="2.7109375" style="1" customWidth="1"/>
    <col min="3" max="3" width="40.7109375" style="1" customWidth="1"/>
    <col min="4" max="8" width="12.7109375" style="1"/>
    <col min="9" max="9" width="2.7109375" style="1" customWidth="1"/>
    <col min="10" max="10" width="40.7109375" style="1" customWidth="1"/>
    <col min="11" max="15" width="12.7109375" style="1"/>
    <col min="16" max="17" width="2.7109375" style="1" customWidth="1"/>
    <col min="18" max="18" width="15.7109375" style="1" customWidth="1"/>
    <col min="19" max="16384" width="12.7109375" style="1"/>
  </cols>
  <sheetData>
    <row r="1" spans="2:18" ht="15.75" customHeight="1" thickBot="1" x14ac:dyDescent="0.3"/>
    <row r="2" spans="2:18" ht="15.75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8" ht="15.75" customHeight="1" x14ac:dyDescent="0.25">
      <c r="B3" s="5"/>
      <c r="C3" s="232" t="s">
        <v>115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6"/>
      <c r="R3" s="52" t="s">
        <v>111</v>
      </c>
    </row>
    <row r="4" spans="2:18" ht="15.75" customHeight="1" x14ac:dyDescent="0.25">
      <c r="B4" s="5"/>
      <c r="P4" s="6"/>
    </row>
    <row r="5" spans="2:18" ht="15.75" customHeight="1" x14ac:dyDescent="0.25">
      <c r="B5" s="5"/>
      <c r="C5" s="1" t="s">
        <v>29</v>
      </c>
      <c r="D5" s="53">
        <v>3.75</v>
      </c>
      <c r="P5" s="6"/>
    </row>
    <row r="6" spans="2:18" ht="15.75" customHeight="1" x14ac:dyDescent="0.25">
      <c r="B6" s="5"/>
      <c r="P6" s="6"/>
    </row>
    <row r="7" spans="2:18" ht="15.75" customHeight="1" x14ac:dyDescent="0.25">
      <c r="B7" s="5"/>
      <c r="C7" s="7" t="s">
        <v>30</v>
      </c>
      <c r="D7" s="27">
        <v>2022</v>
      </c>
      <c r="E7" s="27">
        <v>2021</v>
      </c>
      <c r="F7" s="27">
        <v>2020</v>
      </c>
      <c r="G7" s="27">
        <v>2019</v>
      </c>
      <c r="H7" s="27">
        <v>2018</v>
      </c>
      <c r="J7" s="7" t="s">
        <v>31</v>
      </c>
      <c r="K7" s="27">
        <v>2022</v>
      </c>
      <c r="L7" s="27">
        <v>2021</v>
      </c>
      <c r="M7" s="27">
        <v>2020</v>
      </c>
      <c r="N7" s="27">
        <v>2019</v>
      </c>
      <c r="O7" s="27">
        <v>2018</v>
      </c>
      <c r="P7" s="6"/>
    </row>
    <row r="8" spans="2:18" ht="15.75" customHeight="1" x14ac:dyDescent="0.25">
      <c r="B8" s="5"/>
      <c r="C8" s="8" t="s">
        <v>0</v>
      </c>
      <c r="D8" s="9"/>
      <c r="E8" s="9"/>
      <c r="F8" s="9"/>
      <c r="G8" s="9"/>
      <c r="H8" s="9"/>
      <c r="J8" s="8" t="s">
        <v>0</v>
      </c>
      <c r="P8" s="6"/>
    </row>
    <row r="9" spans="2:18" ht="15.75" customHeight="1" x14ac:dyDescent="0.25">
      <c r="B9" s="5"/>
      <c r="C9" s="10" t="s">
        <v>1</v>
      </c>
      <c r="D9" s="54">
        <v>2266373</v>
      </c>
      <c r="E9" s="54">
        <v>1501758</v>
      </c>
      <c r="F9" s="54">
        <v>862091</v>
      </c>
      <c r="G9" s="54">
        <v>1236785</v>
      </c>
      <c r="H9" s="54">
        <v>1347017</v>
      </c>
      <c r="J9" s="10" t="s">
        <v>1</v>
      </c>
      <c r="K9" s="11">
        <f t="shared" ref="K9:K14" si="0">D9/$D$5</f>
        <v>604366.1333333333</v>
      </c>
      <c r="L9" s="11">
        <f t="shared" ref="L9:O14" si="1">E9/$D$5</f>
        <v>400468.8</v>
      </c>
      <c r="M9" s="11">
        <f t="shared" si="1"/>
        <v>229890.93333333332</v>
      </c>
      <c r="N9" s="11">
        <f t="shared" si="1"/>
        <v>329809.33333333331</v>
      </c>
      <c r="O9" s="11">
        <f t="shared" si="1"/>
        <v>359204.53333333333</v>
      </c>
      <c r="P9" s="6"/>
    </row>
    <row r="10" spans="2:18" ht="15.75" customHeight="1" x14ac:dyDescent="0.25">
      <c r="B10" s="5"/>
      <c r="C10" s="88" t="s">
        <v>42</v>
      </c>
      <c r="D10" s="54">
        <v>91618</v>
      </c>
      <c r="E10" s="54">
        <v>85521</v>
      </c>
      <c r="F10" s="54">
        <v>76208</v>
      </c>
      <c r="G10" s="54">
        <v>50266</v>
      </c>
      <c r="H10" s="54">
        <v>41334</v>
      </c>
      <c r="J10" s="88" t="s">
        <v>42</v>
      </c>
      <c r="K10" s="11">
        <f t="shared" si="0"/>
        <v>24431.466666666667</v>
      </c>
      <c r="L10" s="11">
        <f t="shared" si="1"/>
        <v>22805.599999999999</v>
      </c>
      <c r="M10" s="11">
        <f t="shared" si="1"/>
        <v>20322.133333333335</v>
      </c>
      <c r="N10" s="11">
        <f t="shared" si="1"/>
        <v>13404.266666666666</v>
      </c>
      <c r="O10" s="11">
        <f t="shared" si="1"/>
        <v>11022.4</v>
      </c>
      <c r="P10" s="6"/>
    </row>
    <row r="11" spans="2:18" ht="15.75" customHeight="1" x14ac:dyDescent="0.25">
      <c r="B11" s="5"/>
      <c r="C11" s="10" t="s">
        <v>2</v>
      </c>
      <c r="D11" s="54">
        <v>1144077</v>
      </c>
      <c r="E11" s="54">
        <v>771918</v>
      </c>
      <c r="F11" s="54">
        <v>383360</v>
      </c>
      <c r="G11" s="54">
        <v>674871</v>
      </c>
      <c r="H11" s="54">
        <v>798405</v>
      </c>
      <c r="J11" s="10" t="s">
        <v>2</v>
      </c>
      <c r="K11" s="11">
        <f t="shared" si="0"/>
        <v>305087.2</v>
      </c>
      <c r="L11" s="11">
        <f t="shared" si="1"/>
        <v>205844.8</v>
      </c>
      <c r="M11" s="11">
        <f t="shared" si="1"/>
        <v>102229.33333333333</v>
      </c>
      <c r="N11" s="11">
        <f t="shared" si="1"/>
        <v>179965.6</v>
      </c>
      <c r="O11" s="11">
        <f t="shared" si="1"/>
        <v>212908</v>
      </c>
      <c r="P11" s="6"/>
    </row>
    <row r="12" spans="2:18" ht="15.75" customHeight="1" x14ac:dyDescent="0.25">
      <c r="B12" s="5"/>
      <c r="C12" s="88" t="s">
        <v>43</v>
      </c>
      <c r="D12" s="54">
        <v>8882</v>
      </c>
      <c r="E12" s="54">
        <v>12058</v>
      </c>
      <c r="F12" s="54">
        <v>10564</v>
      </c>
      <c r="G12" s="54">
        <v>6026</v>
      </c>
      <c r="H12" s="54">
        <v>2959</v>
      </c>
      <c r="J12" s="88" t="s">
        <v>43</v>
      </c>
      <c r="K12" s="11">
        <f t="shared" si="0"/>
        <v>2368.5333333333333</v>
      </c>
      <c r="L12" s="11">
        <f t="shared" si="1"/>
        <v>3215.4666666666667</v>
      </c>
      <c r="M12" s="11">
        <f t="shared" si="1"/>
        <v>2817.0666666666666</v>
      </c>
      <c r="N12" s="11">
        <f t="shared" si="1"/>
        <v>1606.9333333333334</v>
      </c>
      <c r="O12" s="11">
        <f t="shared" si="1"/>
        <v>789.06666666666672</v>
      </c>
      <c r="P12" s="6"/>
    </row>
    <row r="13" spans="2:18" ht="15.75" customHeight="1" x14ac:dyDescent="0.25">
      <c r="B13" s="5"/>
      <c r="C13" s="88" t="s">
        <v>44</v>
      </c>
      <c r="D13" s="54">
        <v>14894</v>
      </c>
      <c r="E13" s="54">
        <v>1787</v>
      </c>
      <c r="F13" s="54">
        <v>3182</v>
      </c>
      <c r="G13" s="54">
        <v>7351</v>
      </c>
      <c r="H13" s="54">
        <v>3865</v>
      </c>
      <c r="J13" s="88" t="s">
        <v>44</v>
      </c>
      <c r="K13" s="11">
        <f t="shared" si="0"/>
        <v>3971.7333333333331</v>
      </c>
      <c r="L13" s="11">
        <f t="shared" si="1"/>
        <v>476.53333333333336</v>
      </c>
      <c r="M13" s="11">
        <f t="shared" si="1"/>
        <v>848.5333333333333</v>
      </c>
      <c r="N13" s="11">
        <f t="shared" si="1"/>
        <v>1960.2666666666667</v>
      </c>
      <c r="O13" s="11">
        <f t="shared" si="1"/>
        <v>1030.6666666666667</v>
      </c>
      <c r="P13" s="6"/>
    </row>
    <row r="14" spans="2:18" ht="15.75" customHeight="1" x14ac:dyDescent="0.25">
      <c r="B14" s="5"/>
      <c r="C14" s="12" t="s">
        <v>3</v>
      </c>
      <c r="D14" s="55">
        <v>604005</v>
      </c>
      <c r="E14" s="55">
        <v>412396</v>
      </c>
      <c r="F14" s="55">
        <v>183763</v>
      </c>
      <c r="G14" s="55">
        <v>330693</v>
      </c>
      <c r="H14" s="55">
        <v>416518</v>
      </c>
      <c r="J14" s="12" t="s">
        <v>3</v>
      </c>
      <c r="K14" s="13">
        <f t="shared" si="0"/>
        <v>161068</v>
      </c>
      <c r="L14" s="13">
        <f t="shared" si="1"/>
        <v>109972.26666666666</v>
      </c>
      <c r="M14" s="13">
        <f t="shared" si="1"/>
        <v>49003.466666666667</v>
      </c>
      <c r="N14" s="13">
        <f t="shared" si="1"/>
        <v>88184.8</v>
      </c>
      <c r="O14" s="13">
        <f t="shared" si="1"/>
        <v>111071.46666666666</v>
      </c>
      <c r="P14" s="6"/>
    </row>
    <row r="15" spans="2:18" ht="15.75" customHeight="1" x14ac:dyDescent="0.25">
      <c r="B15" s="5"/>
      <c r="C15" s="8" t="s">
        <v>4</v>
      </c>
      <c r="D15" s="9"/>
      <c r="E15" s="9"/>
      <c r="F15" s="9"/>
      <c r="G15" s="9"/>
      <c r="H15" s="9"/>
      <c r="J15" s="8" t="s">
        <v>4</v>
      </c>
      <c r="K15" s="11"/>
      <c r="L15" s="11"/>
      <c r="M15" s="11"/>
      <c r="N15" s="11"/>
      <c r="O15" s="11"/>
      <c r="P15" s="6"/>
    </row>
    <row r="16" spans="2:18" ht="15.75" customHeight="1" x14ac:dyDescent="0.25">
      <c r="B16" s="5"/>
      <c r="C16" s="89" t="s">
        <v>5</v>
      </c>
      <c r="D16" s="54">
        <v>226047</v>
      </c>
      <c r="E16" s="54">
        <v>299579</v>
      </c>
      <c r="F16" s="54">
        <v>207232</v>
      </c>
      <c r="G16" s="54">
        <v>177706</v>
      </c>
      <c r="H16" s="54">
        <v>183152</v>
      </c>
      <c r="J16" s="89" t="s">
        <v>5</v>
      </c>
      <c r="K16" s="11">
        <f>D16/$D$5</f>
        <v>60279.199999999997</v>
      </c>
      <c r="L16" s="11">
        <f>E16/$D$5</f>
        <v>79887.733333333337</v>
      </c>
      <c r="M16" s="11">
        <f>F16/$D$5</f>
        <v>55261.866666666669</v>
      </c>
      <c r="N16" s="11">
        <f>G16/$D$5</f>
        <v>47388.26666666667</v>
      </c>
      <c r="O16" s="11">
        <f>H16/$D$5</f>
        <v>48840.533333333333</v>
      </c>
      <c r="P16" s="6"/>
    </row>
    <row r="17" spans="2:16" ht="15.75" customHeight="1" x14ac:dyDescent="0.25">
      <c r="B17" s="5"/>
      <c r="C17" s="88" t="s">
        <v>6</v>
      </c>
      <c r="D17" s="54">
        <v>857831</v>
      </c>
      <c r="E17" s="54">
        <v>611241</v>
      </c>
      <c r="F17" s="54">
        <v>398879</v>
      </c>
      <c r="G17" s="54">
        <v>408196</v>
      </c>
      <c r="H17" s="54">
        <v>383383</v>
      </c>
      <c r="J17" s="88" t="s">
        <v>6</v>
      </c>
      <c r="K17" s="11">
        <f t="shared" ref="K17:O22" si="2">D17/$D$5</f>
        <v>228754.93333333332</v>
      </c>
      <c r="L17" s="11">
        <f t="shared" si="2"/>
        <v>162997.6</v>
      </c>
      <c r="M17" s="11">
        <f t="shared" si="2"/>
        <v>106367.73333333334</v>
      </c>
      <c r="N17" s="11">
        <f t="shared" si="2"/>
        <v>108852.26666666666</v>
      </c>
      <c r="O17" s="11">
        <f t="shared" si="2"/>
        <v>102235.46666666666</v>
      </c>
      <c r="P17" s="6"/>
    </row>
    <row r="18" spans="2:16" ht="15.75" customHeight="1" x14ac:dyDescent="0.25">
      <c r="B18" s="5"/>
      <c r="C18" s="88" t="s">
        <v>7</v>
      </c>
      <c r="D18" s="54">
        <v>1635093</v>
      </c>
      <c r="E18" s="54">
        <v>1551449</v>
      </c>
      <c r="F18" s="54">
        <v>1515382</v>
      </c>
      <c r="G18" s="54">
        <v>1085930</v>
      </c>
      <c r="H18" s="54">
        <v>963509</v>
      </c>
      <c r="J18" s="88" t="s">
        <v>7</v>
      </c>
      <c r="K18" s="11">
        <f t="shared" si="2"/>
        <v>436024.8</v>
      </c>
      <c r="L18" s="11">
        <f t="shared" si="2"/>
        <v>413719.73333333334</v>
      </c>
      <c r="M18" s="11">
        <f t="shared" si="2"/>
        <v>404101.86666666664</v>
      </c>
      <c r="N18" s="11">
        <f t="shared" si="2"/>
        <v>289581.33333333331</v>
      </c>
      <c r="O18" s="11">
        <f t="shared" si="2"/>
        <v>256935.73333333334</v>
      </c>
      <c r="P18" s="6"/>
    </row>
    <row r="19" spans="2:16" ht="15.75" customHeight="1" x14ac:dyDescent="0.25">
      <c r="B19" s="5"/>
      <c r="C19" s="10" t="s">
        <v>8</v>
      </c>
      <c r="D19" s="54">
        <f>D17+D18</f>
        <v>2492924</v>
      </c>
      <c r="E19" s="54">
        <f>E17+E18</f>
        <v>2162690</v>
      </c>
      <c r="F19" s="54">
        <f>F17+F18</f>
        <v>1914261</v>
      </c>
      <c r="G19" s="54">
        <f>G17+G18</f>
        <v>1494126</v>
      </c>
      <c r="H19" s="54">
        <f>H17+H18</f>
        <v>1346892</v>
      </c>
      <c r="J19" s="10" t="s">
        <v>8</v>
      </c>
      <c r="K19" s="11">
        <f t="shared" si="2"/>
        <v>664779.73333333328</v>
      </c>
      <c r="L19" s="11">
        <f t="shared" si="2"/>
        <v>576717.33333333337</v>
      </c>
      <c r="M19" s="11">
        <f t="shared" si="2"/>
        <v>510469.6</v>
      </c>
      <c r="N19" s="11">
        <f t="shared" si="2"/>
        <v>398433.6</v>
      </c>
      <c r="O19" s="11">
        <f t="shared" si="2"/>
        <v>359171.2</v>
      </c>
      <c r="P19" s="6"/>
    </row>
    <row r="20" spans="2:16" ht="15.75" customHeight="1" x14ac:dyDescent="0.25">
      <c r="B20" s="5"/>
      <c r="C20" s="88" t="s">
        <v>9</v>
      </c>
      <c r="D20" s="54">
        <v>74764</v>
      </c>
      <c r="E20" s="54">
        <v>74550</v>
      </c>
      <c r="F20" s="54">
        <v>99157</v>
      </c>
      <c r="G20" s="54">
        <v>24895</v>
      </c>
      <c r="H20" s="54">
        <v>29989</v>
      </c>
      <c r="J20" s="88" t="s">
        <v>9</v>
      </c>
      <c r="K20" s="11">
        <f t="shared" si="2"/>
        <v>19937.066666666666</v>
      </c>
      <c r="L20" s="11">
        <f t="shared" si="2"/>
        <v>19880</v>
      </c>
      <c r="M20" s="11">
        <f t="shared" si="2"/>
        <v>26441.866666666665</v>
      </c>
      <c r="N20" s="11">
        <f t="shared" si="2"/>
        <v>6638.666666666667</v>
      </c>
      <c r="O20" s="11">
        <f t="shared" si="2"/>
        <v>7997.0666666666666</v>
      </c>
      <c r="P20" s="6"/>
    </row>
    <row r="21" spans="2:16" ht="15.75" customHeight="1" x14ac:dyDescent="0.25">
      <c r="B21" s="5"/>
      <c r="C21" s="88" t="s">
        <v>10</v>
      </c>
      <c r="D21" s="54">
        <v>318380</v>
      </c>
      <c r="E21" s="54">
        <v>436371</v>
      </c>
      <c r="F21" s="54">
        <v>436920</v>
      </c>
      <c r="G21" s="54">
        <v>150690</v>
      </c>
      <c r="H21" s="54">
        <v>71329</v>
      </c>
      <c r="J21" s="88" t="s">
        <v>10</v>
      </c>
      <c r="K21" s="11">
        <f t="shared" si="2"/>
        <v>84901.333333333328</v>
      </c>
      <c r="L21" s="11">
        <f t="shared" si="2"/>
        <v>116365.6</v>
      </c>
      <c r="M21" s="11">
        <f t="shared" si="2"/>
        <v>116512</v>
      </c>
      <c r="N21" s="11">
        <f t="shared" si="2"/>
        <v>40184</v>
      </c>
      <c r="O21" s="11">
        <f t="shared" si="2"/>
        <v>19021.066666666666</v>
      </c>
      <c r="P21" s="6"/>
    </row>
    <row r="22" spans="2:16" ht="15.75" customHeight="1" x14ac:dyDescent="0.25">
      <c r="B22" s="5"/>
      <c r="C22" s="10" t="s">
        <v>11</v>
      </c>
      <c r="D22" s="54">
        <v>826777</v>
      </c>
      <c r="E22" s="54">
        <v>882022</v>
      </c>
      <c r="F22" s="54">
        <v>813167</v>
      </c>
      <c r="G22" s="54">
        <v>447891</v>
      </c>
      <c r="H22" s="54">
        <v>318457</v>
      </c>
      <c r="J22" s="10" t="s">
        <v>11</v>
      </c>
      <c r="K22" s="11">
        <f t="shared" si="2"/>
        <v>220473.86666666667</v>
      </c>
      <c r="L22" s="11">
        <f t="shared" si="2"/>
        <v>235205.86666666667</v>
      </c>
      <c r="M22" s="11">
        <f t="shared" si="2"/>
        <v>216844.53333333333</v>
      </c>
      <c r="N22" s="11">
        <f t="shared" si="2"/>
        <v>119437.6</v>
      </c>
      <c r="O22" s="11">
        <f t="shared" si="2"/>
        <v>84921.866666666669</v>
      </c>
      <c r="P22" s="6"/>
    </row>
    <row r="23" spans="2:16" ht="15.75" customHeight="1" x14ac:dyDescent="0.25">
      <c r="B23" s="5"/>
      <c r="C23" s="88" t="s">
        <v>13</v>
      </c>
      <c r="D23" s="54">
        <v>75000</v>
      </c>
      <c r="E23" s="54">
        <v>60000</v>
      </c>
      <c r="F23" s="54">
        <v>60000</v>
      </c>
      <c r="G23" s="54">
        <v>60000</v>
      </c>
      <c r="H23" s="54">
        <v>60000</v>
      </c>
      <c r="J23" s="88" t="s">
        <v>13</v>
      </c>
      <c r="K23" s="11">
        <f t="shared" ref="K23:O27" si="3">D23/$D$5</f>
        <v>20000</v>
      </c>
      <c r="L23" s="11">
        <f t="shared" si="3"/>
        <v>16000</v>
      </c>
      <c r="M23" s="11">
        <f t="shared" si="3"/>
        <v>16000</v>
      </c>
      <c r="N23" s="11">
        <f t="shared" si="3"/>
        <v>16000</v>
      </c>
      <c r="O23" s="11">
        <f t="shared" si="3"/>
        <v>16000</v>
      </c>
      <c r="P23" s="6"/>
    </row>
    <row r="24" spans="2:16" ht="15.75" customHeight="1" x14ac:dyDescent="0.25">
      <c r="B24" s="5"/>
      <c r="C24" s="88" t="s">
        <v>14</v>
      </c>
      <c r="D24" s="54">
        <v>26981</v>
      </c>
      <c r="E24" s="54">
        <v>26981</v>
      </c>
      <c r="F24" s="54">
        <v>26981</v>
      </c>
      <c r="G24" s="54">
        <v>26981</v>
      </c>
      <c r="H24" s="54">
        <v>26981</v>
      </c>
      <c r="J24" s="88" t="s">
        <v>14</v>
      </c>
      <c r="K24" s="11">
        <f t="shared" si="3"/>
        <v>7194.9333333333334</v>
      </c>
      <c r="L24" s="11">
        <f t="shared" si="3"/>
        <v>7194.9333333333334</v>
      </c>
      <c r="M24" s="11">
        <f t="shared" si="3"/>
        <v>7194.9333333333334</v>
      </c>
      <c r="N24" s="11">
        <f t="shared" si="3"/>
        <v>7194.9333333333334</v>
      </c>
      <c r="O24" s="11">
        <f t="shared" si="3"/>
        <v>7194.9333333333334</v>
      </c>
      <c r="P24" s="6"/>
    </row>
    <row r="25" spans="2:16" ht="15.75" customHeight="1" x14ac:dyDescent="0.25">
      <c r="B25" s="5"/>
      <c r="C25" s="88" t="s">
        <v>15</v>
      </c>
      <c r="D25" s="54">
        <v>1345892</v>
      </c>
      <c r="E25" s="54">
        <v>1024443</v>
      </c>
      <c r="F25" s="54">
        <v>901273</v>
      </c>
      <c r="G25" s="54">
        <v>949758</v>
      </c>
      <c r="H25" s="54">
        <v>926625</v>
      </c>
      <c r="J25" s="88" t="s">
        <v>15</v>
      </c>
      <c r="K25" s="11">
        <f t="shared" si="3"/>
        <v>358904.53333333333</v>
      </c>
      <c r="L25" s="11">
        <f t="shared" si="3"/>
        <v>273184.8</v>
      </c>
      <c r="M25" s="11">
        <f t="shared" si="3"/>
        <v>240339.46666666667</v>
      </c>
      <c r="N25" s="11">
        <f t="shared" si="3"/>
        <v>253268.8</v>
      </c>
      <c r="O25" s="11">
        <f t="shared" si="3"/>
        <v>247100</v>
      </c>
      <c r="P25" s="6"/>
    </row>
    <row r="26" spans="2:16" ht="15.75" customHeight="1" x14ac:dyDescent="0.25">
      <c r="B26" s="5"/>
      <c r="C26" s="88" t="s">
        <v>16</v>
      </c>
      <c r="D26" s="54">
        <v>-2236</v>
      </c>
      <c r="E26" s="54">
        <v>-2828</v>
      </c>
      <c r="F26" s="54">
        <v>-3264</v>
      </c>
      <c r="G26" s="54">
        <v>-3750</v>
      </c>
      <c r="H26" s="56">
        <v>0</v>
      </c>
      <c r="J26" s="88" t="s">
        <v>16</v>
      </c>
      <c r="K26" s="11">
        <f t="shared" si="3"/>
        <v>-596.26666666666665</v>
      </c>
      <c r="L26" s="11">
        <f t="shared" si="3"/>
        <v>-754.13333333333333</v>
      </c>
      <c r="M26" s="11">
        <f t="shared" si="3"/>
        <v>-870.4</v>
      </c>
      <c r="N26" s="11">
        <f t="shared" si="3"/>
        <v>-1000</v>
      </c>
      <c r="O26" s="11">
        <f t="shared" si="3"/>
        <v>0</v>
      </c>
      <c r="P26" s="6"/>
    </row>
    <row r="27" spans="2:16" ht="15.75" customHeight="1" x14ac:dyDescent="0.25">
      <c r="B27" s="5"/>
      <c r="C27" s="12" t="s">
        <v>17</v>
      </c>
      <c r="D27" s="55">
        <v>1666147</v>
      </c>
      <c r="E27" s="55">
        <v>1280668</v>
      </c>
      <c r="F27" s="55">
        <v>1101094</v>
      </c>
      <c r="G27" s="55">
        <v>1046235</v>
      </c>
      <c r="H27" s="55">
        <v>1028435</v>
      </c>
      <c r="J27" s="12" t="s">
        <v>17</v>
      </c>
      <c r="K27" s="13">
        <f t="shared" si="3"/>
        <v>444305.86666666664</v>
      </c>
      <c r="L27" s="13">
        <f t="shared" si="3"/>
        <v>341511.46666666667</v>
      </c>
      <c r="M27" s="13">
        <f t="shared" si="3"/>
        <v>293625.06666666665</v>
      </c>
      <c r="N27" s="13">
        <f t="shared" si="3"/>
        <v>278996</v>
      </c>
      <c r="O27" s="13">
        <f t="shared" si="3"/>
        <v>274249.33333333331</v>
      </c>
      <c r="P27" s="6"/>
    </row>
    <row r="28" spans="2:16" ht="15.75" customHeight="1" x14ac:dyDescent="0.25">
      <c r="B28" s="5"/>
      <c r="C28" s="8" t="s">
        <v>18</v>
      </c>
      <c r="D28" s="9"/>
      <c r="E28" s="9"/>
      <c r="F28" s="9"/>
      <c r="G28" s="9"/>
      <c r="H28" s="9"/>
      <c r="J28" s="8" t="s">
        <v>18</v>
      </c>
      <c r="K28" s="11"/>
      <c r="L28" s="11"/>
      <c r="M28" s="11"/>
      <c r="N28" s="11"/>
      <c r="O28" s="11"/>
      <c r="P28" s="6"/>
    </row>
    <row r="29" spans="2:16" ht="15.75" customHeight="1" x14ac:dyDescent="0.25">
      <c r="B29" s="5"/>
      <c r="C29" s="10" t="s">
        <v>19</v>
      </c>
      <c r="D29" s="54">
        <v>698152</v>
      </c>
      <c r="E29" s="54">
        <v>522601</v>
      </c>
      <c r="F29" s="54">
        <v>285297</v>
      </c>
      <c r="G29" s="54">
        <v>416529</v>
      </c>
      <c r="H29" s="54">
        <v>453701</v>
      </c>
      <c r="J29" s="10" t="s">
        <v>19</v>
      </c>
      <c r="K29" s="11">
        <f t="shared" ref="K29:K36" si="4">D29/$D$5</f>
        <v>186173.86666666667</v>
      </c>
      <c r="L29" s="11">
        <f t="shared" ref="L29:L36" si="5">E29/$D$5</f>
        <v>139360.26666666666</v>
      </c>
      <c r="M29" s="11">
        <f t="shared" ref="M29:M36" si="6">F29/$D$5</f>
        <v>76079.199999999997</v>
      </c>
      <c r="N29" s="11">
        <f t="shared" ref="N29:N36" si="7">G29/$D$5</f>
        <v>111074.4</v>
      </c>
      <c r="O29" s="11">
        <f t="shared" ref="O29:O36" si="8">H29/$D$5</f>
        <v>120986.93333333333</v>
      </c>
      <c r="P29" s="6"/>
    </row>
    <row r="30" spans="2:16" ht="15.75" customHeight="1" x14ac:dyDescent="0.25">
      <c r="B30" s="5"/>
      <c r="C30" s="88" t="s">
        <v>48</v>
      </c>
      <c r="D30" s="54">
        <v>-141161</v>
      </c>
      <c r="E30" s="54">
        <v>-119645</v>
      </c>
      <c r="F30" s="54">
        <v>-101030</v>
      </c>
      <c r="G30" s="54">
        <v>-122882</v>
      </c>
      <c r="H30" s="54">
        <v>-131766</v>
      </c>
      <c r="J30" s="88" t="s">
        <v>48</v>
      </c>
      <c r="K30" s="11">
        <f t="shared" si="4"/>
        <v>-37642.933333333334</v>
      </c>
      <c r="L30" s="11">
        <f t="shared" si="5"/>
        <v>-31905.333333333332</v>
      </c>
      <c r="M30" s="11">
        <f t="shared" si="6"/>
        <v>-26941.333333333332</v>
      </c>
      <c r="N30" s="11">
        <f t="shared" si="7"/>
        <v>-32768.533333333333</v>
      </c>
      <c r="O30" s="11">
        <f t="shared" si="8"/>
        <v>-35137.599999999999</v>
      </c>
      <c r="P30" s="6"/>
    </row>
    <row r="31" spans="2:16" ht="15.75" customHeight="1" x14ac:dyDescent="0.25">
      <c r="B31" s="5"/>
      <c r="C31" s="10" t="s">
        <v>20</v>
      </c>
      <c r="D31" s="54">
        <v>-389009</v>
      </c>
      <c r="E31" s="54">
        <v>-135741</v>
      </c>
      <c r="F31" s="54">
        <v>-20899</v>
      </c>
      <c r="G31" s="54">
        <v>-177144</v>
      </c>
      <c r="H31" s="54">
        <v>-131205</v>
      </c>
      <c r="J31" s="10" t="s">
        <v>20</v>
      </c>
      <c r="K31" s="11">
        <f t="shared" si="4"/>
        <v>-103735.73333333334</v>
      </c>
      <c r="L31" s="11">
        <f t="shared" si="5"/>
        <v>-36197.599999999999</v>
      </c>
      <c r="M31" s="11">
        <f t="shared" si="6"/>
        <v>-5573.0666666666666</v>
      </c>
      <c r="N31" s="11">
        <f t="shared" si="7"/>
        <v>-47238.400000000001</v>
      </c>
      <c r="O31" s="11">
        <f t="shared" si="8"/>
        <v>-34988</v>
      </c>
      <c r="P31" s="6"/>
    </row>
    <row r="32" spans="2:16" ht="15.75" customHeight="1" x14ac:dyDescent="0.25">
      <c r="B32" s="5"/>
      <c r="C32" s="88" t="s">
        <v>45</v>
      </c>
      <c r="D32" s="54">
        <v>9082</v>
      </c>
      <c r="E32" s="54">
        <v>42213</v>
      </c>
      <c r="F32" s="54">
        <v>87520</v>
      </c>
      <c r="G32" s="54">
        <v>51960</v>
      </c>
      <c r="H32" s="54">
        <v>11660</v>
      </c>
      <c r="J32" s="88" t="s">
        <v>45</v>
      </c>
      <c r="K32" s="11">
        <f t="shared" si="4"/>
        <v>2421.8666666666668</v>
      </c>
      <c r="L32" s="11">
        <f t="shared" si="5"/>
        <v>11256.8</v>
      </c>
      <c r="M32" s="11">
        <f t="shared" si="6"/>
        <v>23338.666666666668</v>
      </c>
      <c r="N32" s="11">
        <f t="shared" si="7"/>
        <v>13856</v>
      </c>
      <c r="O32" s="11">
        <f t="shared" si="8"/>
        <v>3109.3333333333335</v>
      </c>
      <c r="P32" s="6"/>
    </row>
    <row r="33" spans="2:16" ht="15.75" customHeight="1" x14ac:dyDescent="0.25">
      <c r="B33" s="5"/>
      <c r="C33" s="88" t="s">
        <v>46</v>
      </c>
      <c r="D33" s="54">
        <v>-132514</v>
      </c>
      <c r="E33" s="54">
        <v>-73563</v>
      </c>
      <c r="F33" s="54">
        <v>-42125</v>
      </c>
      <c r="G33" s="54">
        <v>-5162</v>
      </c>
      <c r="H33" s="54">
        <v>-11096</v>
      </c>
      <c r="J33" s="88" t="s">
        <v>46</v>
      </c>
      <c r="K33" s="11">
        <f t="shared" si="4"/>
        <v>-35337.066666666666</v>
      </c>
      <c r="L33" s="11">
        <f t="shared" si="5"/>
        <v>-19616.8</v>
      </c>
      <c r="M33" s="11">
        <f t="shared" si="6"/>
        <v>-11233.333333333334</v>
      </c>
      <c r="N33" s="11">
        <f t="shared" si="7"/>
        <v>-1376.5333333333333</v>
      </c>
      <c r="O33" s="11">
        <f t="shared" si="8"/>
        <v>-2958.9333333333334</v>
      </c>
      <c r="P33" s="6"/>
    </row>
    <row r="34" spans="2:16" ht="15.75" customHeight="1" x14ac:dyDescent="0.25">
      <c r="B34" s="5"/>
      <c r="C34" s="88" t="s">
        <v>47</v>
      </c>
      <c r="D34" s="54">
        <v>-295735</v>
      </c>
      <c r="E34" s="54">
        <v>-288417</v>
      </c>
      <c r="F34" s="54">
        <v>-261902</v>
      </c>
      <c r="G34" s="54">
        <v>-274424</v>
      </c>
      <c r="H34" s="54">
        <v>-218402</v>
      </c>
      <c r="J34" s="88" t="s">
        <v>47</v>
      </c>
      <c r="K34" s="11">
        <f t="shared" si="4"/>
        <v>-78862.666666666672</v>
      </c>
      <c r="L34" s="11">
        <f t="shared" si="5"/>
        <v>-76911.199999999997</v>
      </c>
      <c r="M34" s="11">
        <f t="shared" si="6"/>
        <v>-69840.53333333334</v>
      </c>
      <c r="N34" s="11">
        <f t="shared" si="7"/>
        <v>-73179.733333333337</v>
      </c>
      <c r="O34" s="11">
        <f t="shared" si="8"/>
        <v>-58240.533333333333</v>
      </c>
      <c r="P34" s="6"/>
    </row>
    <row r="35" spans="2:16" ht="15.75" customHeight="1" x14ac:dyDescent="0.25">
      <c r="B35" s="5"/>
      <c r="C35" s="88" t="s">
        <v>114</v>
      </c>
      <c r="D35" s="54">
        <v>550</v>
      </c>
      <c r="E35" s="54">
        <v>384</v>
      </c>
      <c r="F35" s="54">
        <v>0</v>
      </c>
      <c r="G35" s="54">
        <v>-3750</v>
      </c>
      <c r="H35" s="54">
        <v>0</v>
      </c>
      <c r="J35" s="88" t="s">
        <v>114</v>
      </c>
      <c r="K35" s="11">
        <f t="shared" si="4"/>
        <v>146.66666666666666</v>
      </c>
      <c r="L35" s="11">
        <f t="shared" si="5"/>
        <v>102.4</v>
      </c>
      <c r="M35" s="11">
        <f t="shared" si="6"/>
        <v>0</v>
      </c>
      <c r="N35" s="11">
        <f t="shared" si="7"/>
        <v>-1000</v>
      </c>
      <c r="O35" s="11">
        <f t="shared" si="8"/>
        <v>0</v>
      </c>
      <c r="P35" s="6"/>
    </row>
    <row r="36" spans="2:16" ht="15.75" customHeight="1" x14ac:dyDescent="0.25">
      <c r="B36" s="5"/>
      <c r="C36" s="12" t="s">
        <v>21</v>
      </c>
      <c r="D36" s="55">
        <v>-382675</v>
      </c>
      <c r="E36" s="55">
        <v>-294513</v>
      </c>
      <c r="F36" s="55">
        <v>-234872</v>
      </c>
      <c r="G36" s="55">
        <v>-244831</v>
      </c>
      <c r="H36" s="55">
        <v>-220586</v>
      </c>
      <c r="J36" s="12" t="s">
        <v>21</v>
      </c>
      <c r="K36" s="13">
        <f t="shared" si="4"/>
        <v>-102046.66666666667</v>
      </c>
      <c r="L36" s="13">
        <f t="shared" si="5"/>
        <v>-78536.800000000003</v>
      </c>
      <c r="M36" s="13">
        <f t="shared" si="6"/>
        <v>-62632.533333333333</v>
      </c>
      <c r="N36" s="13">
        <f t="shared" si="7"/>
        <v>-65288.26666666667</v>
      </c>
      <c r="O36" s="13">
        <f t="shared" si="8"/>
        <v>-58822.933333333334</v>
      </c>
      <c r="P36" s="6"/>
    </row>
    <row r="37" spans="2:16" ht="15.75" customHeight="1" x14ac:dyDescent="0.25">
      <c r="B37" s="5"/>
      <c r="C37" s="8" t="s">
        <v>22</v>
      </c>
      <c r="D37" s="8"/>
      <c r="E37" s="8"/>
      <c r="F37" s="8"/>
      <c r="G37" s="8"/>
      <c r="H37" s="8"/>
      <c r="J37" s="8"/>
      <c r="K37" s="11"/>
      <c r="L37" s="11"/>
      <c r="M37" s="11"/>
      <c r="N37" s="11"/>
      <c r="O37" s="11"/>
      <c r="P37" s="6"/>
    </row>
    <row r="38" spans="2:16" ht="15.75" customHeight="1" x14ac:dyDescent="0.25">
      <c r="B38" s="5"/>
      <c r="C38" s="12" t="s">
        <v>23</v>
      </c>
      <c r="D38" s="55">
        <v>220000</v>
      </c>
      <c r="E38" s="55">
        <v>200000</v>
      </c>
      <c r="F38" s="55">
        <v>200000</v>
      </c>
      <c r="G38" s="55">
        <v>200000</v>
      </c>
      <c r="H38" s="55">
        <v>200000</v>
      </c>
      <c r="J38" s="10"/>
      <c r="K38" s="11"/>
      <c r="L38" s="11"/>
      <c r="M38" s="11"/>
      <c r="N38" s="11"/>
      <c r="O38" s="11"/>
      <c r="P38" s="6"/>
    </row>
    <row r="39" spans="2:16" ht="15.75" customHeight="1" thickBot="1" x14ac:dyDescent="0.3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6"/>
    </row>
  </sheetData>
  <mergeCells count="1">
    <mergeCell ref="C3:O3"/>
  </mergeCells>
  <hyperlinks>
    <hyperlink ref="R3" location="'Table of Content'!A1" display="Return to TOC" xr:uid="{C5FCA05E-6BE4-4FC9-B8B8-B8B46128967A}"/>
  </hyperlinks>
  <pageMargins left="0.2" right="0.2" top="0.25" bottom="0.25" header="0.3" footer="0.3"/>
  <pageSetup scale="5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DD7-2A85-42F0-BC3D-D51C0D5FD6BF}">
  <sheetPr>
    <tabColor theme="8" tint="0.59999389629810485"/>
    <pageSetUpPr fitToPage="1"/>
  </sheetPr>
  <dimension ref="B1:K37"/>
  <sheetViews>
    <sheetView showGridLines="0" workbookViewId="0">
      <selection activeCell="C3" sqref="C3:H3"/>
    </sheetView>
  </sheetViews>
  <sheetFormatPr defaultColWidth="12.7109375" defaultRowHeight="15.75" customHeight="1" x14ac:dyDescent="0.25"/>
  <cols>
    <col min="1" max="2" width="2.7109375" style="1" customWidth="1"/>
    <col min="3" max="3" width="40.7109375" style="1" customWidth="1"/>
    <col min="4" max="8" width="12.7109375" style="1"/>
    <col min="9" max="10" width="2.7109375" style="1" customWidth="1"/>
    <col min="11" max="11" width="15.7109375" style="1" customWidth="1"/>
    <col min="12" max="16384" width="12.7109375" style="1"/>
  </cols>
  <sheetData>
    <row r="1" spans="2:11" ht="15.75" customHeight="1" thickBot="1" x14ac:dyDescent="0.3"/>
    <row r="2" spans="2:11" ht="15.75" customHeight="1" x14ac:dyDescent="0.25">
      <c r="B2" s="2"/>
      <c r="C2" s="3"/>
      <c r="D2" s="3"/>
      <c r="E2" s="3"/>
      <c r="F2" s="3"/>
      <c r="G2" s="3"/>
      <c r="H2" s="3"/>
      <c r="I2" s="4"/>
    </row>
    <row r="3" spans="2:11" ht="15.75" customHeight="1" x14ac:dyDescent="0.25">
      <c r="B3" s="5"/>
      <c r="C3" s="232" t="s">
        <v>116</v>
      </c>
      <c r="D3" s="232"/>
      <c r="E3" s="232"/>
      <c r="F3" s="232"/>
      <c r="G3" s="232"/>
      <c r="H3" s="232"/>
      <c r="I3" s="6"/>
      <c r="K3" s="52" t="s">
        <v>111</v>
      </c>
    </row>
    <row r="4" spans="2:11" ht="15.75" customHeight="1" x14ac:dyDescent="0.25">
      <c r="B4" s="5"/>
      <c r="I4" s="6"/>
    </row>
    <row r="5" spans="2:11" ht="15.75" customHeight="1" x14ac:dyDescent="0.25">
      <c r="B5" s="5"/>
      <c r="C5" s="7" t="s">
        <v>31</v>
      </c>
      <c r="D5" s="27">
        <v>2022</v>
      </c>
      <c r="E5" s="27">
        <v>2021</v>
      </c>
      <c r="F5" s="27">
        <v>2020</v>
      </c>
      <c r="G5" s="27">
        <v>2019</v>
      </c>
      <c r="H5" s="27">
        <v>2018</v>
      </c>
      <c r="I5" s="6"/>
    </row>
    <row r="6" spans="2:11" ht="15.75" customHeight="1" x14ac:dyDescent="0.25">
      <c r="B6" s="5"/>
      <c r="C6" s="8" t="s">
        <v>0</v>
      </c>
      <c r="D6" s="9"/>
      <c r="E6" s="9"/>
      <c r="F6" s="9"/>
      <c r="G6" s="9"/>
      <c r="H6" s="9"/>
      <c r="I6" s="6"/>
    </row>
    <row r="7" spans="2:11" ht="15.75" customHeight="1" x14ac:dyDescent="0.25">
      <c r="B7" s="5"/>
      <c r="C7" s="10" t="s">
        <v>1</v>
      </c>
      <c r="D7" s="54">
        <v>246252</v>
      </c>
      <c r="E7" s="54">
        <v>162465</v>
      </c>
      <c r="F7" s="54">
        <v>94692</v>
      </c>
      <c r="G7" s="54">
        <v>146516</v>
      </c>
      <c r="H7" s="54">
        <v>166339</v>
      </c>
      <c r="I7" s="6"/>
    </row>
    <row r="8" spans="2:11" ht="15.75" customHeight="1" x14ac:dyDescent="0.25">
      <c r="B8" s="5"/>
      <c r="C8" s="88" t="s">
        <v>42</v>
      </c>
      <c r="D8" s="54">
        <v>16319</v>
      </c>
      <c r="E8" s="54">
        <v>17925</v>
      </c>
      <c r="F8" s="54">
        <v>19508</v>
      </c>
      <c r="G8" s="54">
        <v>29218</v>
      </c>
      <c r="H8" s="54">
        <v>19419</v>
      </c>
      <c r="I8" s="6"/>
    </row>
    <row r="9" spans="2:11" ht="15.75" customHeight="1" x14ac:dyDescent="0.25">
      <c r="B9" s="5"/>
      <c r="C9" s="10" t="s">
        <v>2</v>
      </c>
      <c r="D9" s="54">
        <v>54517</v>
      </c>
      <c r="E9" s="54">
        <v>27002</v>
      </c>
      <c r="F9" s="54">
        <v>-3037</v>
      </c>
      <c r="G9" s="54">
        <v>10887</v>
      </c>
      <c r="H9" s="54">
        <v>26750</v>
      </c>
      <c r="I9" s="6"/>
    </row>
    <row r="10" spans="2:11" ht="15.75" customHeight="1" x14ac:dyDescent="0.25">
      <c r="B10" s="5"/>
      <c r="C10" s="88" t="s">
        <v>43</v>
      </c>
      <c r="D10" s="54">
        <v>476</v>
      </c>
      <c r="E10" s="54">
        <v>662</v>
      </c>
      <c r="F10" s="54">
        <v>658</v>
      </c>
      <c r="G10" s="54">
        <v>761</v>
      </c>
      <c r="H10" s="54">
        <v>713</v>
      </c>
      <c r="I10" s="6"/>
    </row>
    <row r="11" spans="2:11" ht="15.75" customHeight="1" x14ac:dyDescent="0.25">
      <c r="B11" s="5"/>
      <c r="C11" s="88" t="s">
        <v>44</v>
      </c>
      <c r="D11" s="54">
        <v>261</v>
      </c>
      <c r="E11" s="54">
        <v>36</v>
      </c>
      <c r="F11" s="54">
        <v>52</v>
      </c>
      <c r="G11" s="54">
        <v>181</v>
      </c>
      <c r="H11" s="54">
        <v>137</v>
      </c>
      <c r="I11" s="6"/>
    </row>
    <row r="12" spans="2:11" ht="15.75" customHeight="1" x14ac:dyDescent="0.25">
      <c r="B12" s="5"/>
      <c r="C12" s="12" t="s">
        <v>3</v>
      </c>
      <c r="D12" s="55">
        <v>35608</v>
      </c>
      <c r="E12" s="55">
        <v>15689</v>
      </c>
      <c r="F12" s="55">
        <v>-5561</v>
      </c>
      <c r="G12" s="55">
        <v>2845</v>
      </c>
      <c r="H12" s="55">
        <v>14860</v>
      </c>
      <c r="I12" s="6"/>
    </row>
    <row r="13" spans="2:11" ht="15.75" customHeight="1" x14ac:dyDescent="0.25">
      <c r="B13" s="5"/>
      <c r="C13" s="8" t="s">
        <v>4</v>
      </c>
      <c r="D13" s="9"/>
      <c r="E13" s="9"/>
      <c r="F13" s="9"/>
      <c r="G13" s="9"/>
      <c r="H13" s="9"/>
      <c r="I13" s="6"/>
    </row>
    <row r="14" spans="2:11" ht="15.75" customHeight="1" x14ac:dyDescent="0.25">
      <c r="B14" s="5"/>
      <c r="C14" s="89" t="s">
        <v>5</v>
      </c>
      <c r="D14" s="54">
        <v>17678</v>
      </c>
      <c r="E14" s="54">
        <v>5640</v>
      </c>
      <c r="F14" s="54">
        <v>5596</v>
      </c>
      <c r="G14" s="54">
        <v>5686</v>
      </c>
      <c r="H14" s="54">
        <v>9342</v>
      </c>
      <c r="I14" s="6"/>
    </row>
    <row r="15" spans="2:11" ht="15.75" customHeight="1" x14ac:dyDescent="0.25">
      <c r="B15" s="5"/>
      <c r="C15" s="88" t="s">
        <v>6</v>
      </c>
      <c r="D15" s="54">
        <v>50343</v>
      </c>
      <c r="E15" s="54">
        <v>33738</v>
      </c>
      <c r="F15" s="54">
        <v>26078</v>
      </c>
      <c r="G15" s="54">
        <v>28329</v>
      </c>
      <c r="H15" s="54">
        <v>34021</v>
      </c>
      <c r="I15" s="6"/>
    </row>
    <row r="16" spans="2:11" ht="15.75" customHeight="1" x14ac:dyDescent="0.25">
      <c r="B16" s="5"/>
      <c r="C16" s="88" t="s">
        <v>7</v>
      </c>
      <c r="D16" s="54">
        <v>207366</v>
      </c>
      <c r="E16" s="54">
        <v>205797</v>
      </c>
      <c r="F16" s="54">
        <v>213712</v>
      </c>
      <c r="G16" s="54">
        <v>209099</v>
      </c>
      <c r="H16" s="54">
        <v>219842</v>
      </c>
      <c r="I16" s="6"/>
    </row>
    <row r="17" spans="2:9" ht="15.75" customHeight="1" x14ac:dyDescent="0.25">
      <c r="B17" s="5"/>
      <c r="C17" s="10" t="s">
        <v>8</v>
      </c>
      <c r="D17" s="54">
        <f>D15+D16</f>
        <v>257709</v>
      </c>
      <c r="E17" s="54">
        <f>E15+E16</f>
        <v>239535</v>
      </c>
      <c r="F17" s="54">
        <f>F15+F16</f>
        <v>239790</v>
      </c>
      <c r="G17" s="54">
        <f>G15+G16</f>
        <v>237428</v>
      </c>
      <c r="H17" s="54">
        <f>H15+H16</f>
        <v>253863</v>
      </c>
      <c r="I17" s="6"/>
    </row>
    <row r="18" spans="2:9" ht="15.75" customHeight="1" x14ac:dyDescent="0.25">
      <c r="B18" s="5"/>
      <c r="C18" s="10" t="s">
        <v>9</v>
      </c>
      <c r="D18" s="54">
        <v>1964</v>
      </c>
      <c r="E18" s="56">
        <v>256</v>
      </c>
      <c r="F18" s="54">
        <v>1548</v>
      </c>
      <c r="G18" s="54">
        <v>3282</v>
      </c>
      <c r="H18" s="54">
        <v>5726</v>
      </c>
      <c r="I18" s="6"/>
    </row>
    <row r="19" spans="2:9" ht="15.75" customHeight="1" x14ac:dyDescent="0.25">
      <c r="B19" s="5"/>
      <c r="C19" s="10" t="s">
        <v>10</v>
      </c>
      <c r="D19" s="54">
        <v>21375</v>
      </c>
      <c r="E19" s="54">
        <v>31113</v>
      </c>
      <c r="F19" s="54">
        <v>42767</v>
      </c>
      <c r="G19" s="54">
        <v>23691</v>
      </c>
      <c r="H19" s="54">
        <v>28733</v>
      </c>
      <c r="I19" s="6"/>
    </row>
    <row r="20" spans="2:9" ht="15.75" customHeight="1" x14ac:dyDescent="0.25">
      <c r="B20" s="5"/>
      <c r="C20" s="10" t="s">
        <v>11</v>
      </c>
      <c r="D20" s="54">
        <v>97467</v>
      </c>
      <c r="E20" s="54">
        <v>99595</v>
      </c>
      <c r="F20" s="54">
        <v>107064</v>
      </c>
      <c r="G20" s="54">
        <v>92220</v>
      </c>
      <c r="H20" s="54">
        <v>98221</v>
      </c>
      <c r="I20" s="6"/>
    </row>
    <row r="21" spans="2:9" ht="15.75" customHeight="1" x14ac:dyDescent="0.25">
      <c r="B21" s="5"/>
      <c r="C21" s="88" t="s">
        <v>13</v>
      </c>
      <c r="D21" s="54">
        <v>1832</v>
      </c>
      <c r="E21" s="54">
        <v>1832</v>
      </c>
      <c r="F21" s="54">
        <v>1832</v>
      </c>
      <c r="G21" s="54">
        <v>1832</v>
      </c>
      <c r="H21" s="54">
        <v>1832</v>
      </c>
      <c r="I21" s="6"/>
    </row>
    <row r="22" spans="2:9" ht="15.75" customHeight="1" x14ac:dyDescent="0.25">
      <c r="B22" s="5"/>
      <c r="C22" s="88" t="s">
        <v>14</v>
      </c>
      <c r="D22" s="54">
        <v>18660</v>
      </c>
      <c r="E22" s="54">
        <v>17282</v>
      </c>
      <c r="F22" s="54">
        <v>16829</v>
      </c>
      <c r="G22" s="54">
        <v>17265</v>
      </c>
      <c r="H22" s="54">
        <v>17112</v>
      </c>
      <c r="I22" s="6"/>
    </row>
    <row r="23" spans="2:9" ht="15.75" customHeight="1" x14ac:dyDescent="0.25">
      <c r="B23" s="5"/>
      <c r="C23" s="88" t="s">
        <v>15</v>
      </c>
      <c r="D23" s="54">
        <v>190024</v>
      </c>
      <c r="E23" s="54">
        <v>165546</v>
      </c>
      <c r="F23" s="54">
        <v>160377</v>
      </c>
      <c r="G23" s="54">
        <v>174945</v>
      </c>
      <c r="H23" s="54">
        <v>180987</v>
      </c>
      <c r="I23" s="6"/>
    </row>
    <row r="24" spans="2:9" ht="15.75" customHeight="1" x14ac:dyDescent="0.25">
      <c r="B24" s="5"/>
      <c r="C24" s="88" t="s">
        <v>16</v>
      </c>
      <c r="D24" s="54">
        <v>-48196</v>
      </c>
      <c r="E24" s="54">
        <v>-41464</v>
      </c>
      <c r="F24" s="54">
        <v>-41498</v>
      </c>
      <c r="G24" s="54">
        <v>-44599</v>
      </c>
      <c r="H24" s="54">
        <v>-41593</v>
      </c>
      <c r="I24" s="6"/>
    </row>
    <row r="25" spans="2:9" ht="15.75" customHeight="1" x14ac:dyDescent="0.25">
      <c r="B25" s="5"/>
      <c r="C25" s="12" t="s">
        <v>17</v>
      </c>
      <c r="D25" s="55">
        <v>160242</v>
      </c>
      <c r="E25" s="55">
        <v>139940</v>
      </c>
      <c r="F25" s="55">
        <v>132726</v>
      </c>
      <c r="G25" s="55">
        <v>145208</v>
      </c>
      <c r="H25" s="55">
        <v>155642</v>
      </c>
      <c r="I25" s="6"/>
    </row>
    <row r="26" spans="2:9" ht="15.75" customHeight="1" x14ac:dyDescent="0.25">
      <c r="B26" s="5"/>
      <c r="C26" s="8" t="s">
        <v>18</v>
      </c>
      <c r="D26" s="9"/>
      <c r="E26" s="9"/>
      <c r="F26" s="9"/>
      <c r="G26" s="9"/>
      <c r="H26" s="9"/>
      <c r="I26" s="6"/>
    </row>
    <row r="27" spans="2:9" ht="15.75" customHeight="1" x14ac:dyDescent="0.25">
      <c r="B27" s="5"/>
      <c r="C27" s="10" t="s">
        <v>19</v>
      </c>
      <c r="D27" s="54">
        <v>49602</v>
      </c>
      <c r="E27" s="54">
        <v>29187</v>
      </c>
      <c r="F27" s="54">
        <v>10577</v>
      </c>
      <c r="G27" s="54">
        <v>27314</v>
      </c>
      <c r="H27" s="54">
        <v>30618</v>
      </c>
      <c r="I27" s="6"/>
    </row>
    <row r="28" spans="2:9" ht="15.75" customHeight="1" x14ac:dyDescent="0.25">
      <c r="B28" s="5"/>
      <c r="C28" s="88" t="s">
        <v>48</v>
      </c>
      <c r="D28" s="54">
        <v>-11974</v>
      </c>
      <c r="E28" s="54">
        <v>-8056</v>
      </c>
      <c r="F28" s="54">
        <v>-8922</v>
      </c>
      <c r="G28" s="54">
        <v>-14116</v>
      </c>
      <c r="H28" s="54">
        <v>-13792</v>
      </c>
      <c r="I28" s="6"/>
    </row>
    <row r="29" spans="2:9" ht="15.75" customHeight="1" x14ac:dyDescent="0.25">
      <c r="B29" s="5"/>
      <c r="C29" s="10" t="s">
        <v>20</v>
      </c>
      <c r="D29" s="54">
        <v>-12108</v>
      </c>
      <c r="E29" s="54">
        <v>-5865</v>
      </c>
      <c r="F29" s="54">
        <v>-6965</v>
      </c>
      <c r="G29" s="54">
        <v>-11458</v>
      </c>
      <c r="H29" s="54">
        <v>-12290</v>
      </c>
      <c r="I29" s="6"/>
    </row>
    <row r="30" spans="2:9" ht="15.75" customHeight="1" x14ac:dyDescent="0.25">
      <c r="B30" s="5"/>
      <c r="C30" s="88" t="s">
        <v>45</v>
      </c>
      <c r="D30" s="54">
        <v>0</v>
      </c>
      <c r="E30" s="54">
        <v>0</v>
      </c>
      <c r="F30" s="54">
        <v>12308</v>
      </c>
      <c r="G30" s="54">
        <v>0</v>
      </c>
      <c r="H30" s="54">
        <v>218</v>
      </c>
      <c r="I30" s="6"/>
    </row>
    <row r="31" spans="2:9" ht="15.75" customHeight="1" x14ac:dyDescent="0.25">
      <c r="B31" s="5"/>
      <c r="C31" s="88" t="s">
        <v>46</v>
      </c>
      <c r="D31" s="54">
        <v>-8742</v>
      </c>
      <c r="E31" s="54">
        <v>-7364</v>
      </c>
      <c r="F31" s="54">
        <v>-5489</v>
      </c>
      <c r="G31" s="54">
        <v>-5025</v>
      </c>
      <c r="H31" s="54">
        <v>-6741</v>
      </c>
      <c r="I31" s="6"/>
    </row>
    <row r="32" spans="2:9" ht="15.75" customHeight="1" x14ac:dyDescent="0.25">
      <c r="B32" s="5"/>
      <c r="C32" s="88" t="s">
        <v>47</v>
      </c>
      <c r="D32" s="54">
        <v>-10968</v>
      </c>
      <c r="E32" s="54">
        <v>-10179</v>
      </c>
      <c r="F32" s="54">
        <v>-9651</v>
      </c>
      <c r="G32" s="54">
        <v>-8959</v>
      </c>
      <c r="H32" s="54">
        <v>-8502</v>
      </c>
      <c r="I32" s="6"/>
    </row>
    <row r="33" spans="2:9" ht="15.75" customHeight="1" x14ac:dyDescent="0.25">
      <c r="B33" s="5"/>
      <c r="C33" s="88" t="s">
        <v>114</v>
      </c>
      <c r="D33" s="54">
        <v>-5417</v>
      </c>
      <c r="E33" s="54">
        <v>38</v>
      </c>
      <c r="F33" s="54">
        <v>-1531</v>
      </c>
      <c r="G33" s="54">
        <v>-2935</v>
      </c>
      <c r="H33" s="54">
        <v>-604</v>
      </c>
      <c r="I33" s="6"/>
    </row>
    <row r="34" spans="2:9" ht="15.75" customHeight="1" x14ac:dyDescent="0.25">
      <c r="B34" s="5"/>
      <c r="C34" s="12" t="s">
        <v>21</v>
      </c>
      <c r="D34" s="55">
        <v>-24978</v>
      </c>
      <c r="E34" s="55">
        <v>-23113</v>
      </c>
      <c r="F34" s="55">
        <v>-3736</v>
      </c>
      <c r="G34" s="55">
        <v>-19758</v>
      </c>
      <c r="H34" s="55">
        <v>-13699</v>
      </c>
      <c r="I34" s="6"/>
    </row>
    <row r="35" spans="2:9" ht="15.75" customHeight="1" x14ac:dyDescent="0.25">
      <c r="B35" s="5"/>
      <c r="C35" s="8" t="s">
        <v>22</v>
      </c>
      <c r="D35" s="9"/>
      <c r="E35" s="9"/>
      <c r="F35" s="9"/>
      <c r="G35" s="9"/>
      <c r="H35" s="9"/>
      <c r="I35" s="6"/>
    </row>
    <row r="36" spans="2:9" ht="15.75" customHeight="1" x14ac:dyDescent="0.25">
      <c r="B36" s="5"/>
      <c r="C36" s="12" t="s">
        <v>23</v>
      </c>
      <c r="D36" s="55">
        <v>1915</v>
      </c>
      <c r="E36" s="55">
        <v>1930</v>
      </c>
      <c r="F36" s="55">
        <v>1925</v>
      </c>
      <c r="G36" s="55">
        <v>1882</v>
      </c>
      <c r="H36" s="55">
        <v>1903</v>
      </c>
      <c r="I36" s="6"/>
    </row>
    <row r="37" spans="2:9" ht="15.75" customHeight="1" thickBot="1" x14ac:dyDescent="0.3">
      <c r="B37" s="14"/>
      <c r="C37" s="15"/>
      <c r="D37" s="15"/>
      <c r="E37" s="15"/>
      <c r="F37" s="15"/>
      <c r="G37" s="15"/>
      <c r="H37" s="15"/>
      <c r="I37" s="16"/>
    </row>
  </sheetData>
  <mergeCells count="1">
    <mergeCell ref="C3:H3"/>
  </mergeCells>
  <hyperlinks>
    <hyperlink ref="K3" location="'Table of Content'!A1" display="Return to TOC" xr:uid="{EDBD9E4A-F403-4577-B5F3-698F8D113F32}"/>
  </hyperlinks>
  <pageMargins left="0.2" right="0.2" top="0.25" bottom="0.25" header="0.3" footer="0.3"/>
  <pageSetup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565E-EF12-4CB3-A183-6FC135277142}">
  <sheetPr>
    <tabColor theme="8" tint="0.59999389629810485"/>
    <pageSetUpPr fitToPage="1"/>
  </sheetPr>
  <dimension ref="B1:N36"/>
  <sheetViews>
    <sheetView showGridLines="0" workbookViewId="0">
      <selection activeCell="C3" sqref="C3:H3"/>
    </sheetView>
  </sheetViews>
  <sheetFormatPr defaultColWidth="12.7109375" defaultRowHeight="15.75" customHeight="1" x14ac:dyDescent="0.25"/>
  <cols>
    <col min="1" max="2" width="2.7109375" style="1" customWidth="1"/>
    <col min="3" max="3" width="40.7109375" style="1" customWidth="1"/>
    <col min="4" max="8" width="12.7109375" style="1"/>
    <col min="9" max="10" width="2.7109375" style="1" customWidth="1"/>
    <col min="11" max="11" width="15.7109375" style="1" customWidth="1"/>
    <col min="12" max="16384" width="12.7109375" style="1"/>
  </cols>
  <sheetData>
    <row r="1" spans="2:11" ht="15.75" customHeight="1" thickBot="1" x14ac:dyDescent="0.3"/>
    <row r="2" spans="2:11" ht="15.75" customHeight="1" x14ac:dyDescent="0.25">
      <c r="B2" s="2"/>
      <c r="C2" s="3"/>
      <c r="D2" s="3"/>
      <c r="E2" s="3"/>
      <c r="F2" s="3"/>
      <c r="G2" s="3"/>
      <c r="H2" s="3"/>
      <c r="I2" s="4"/>
    </row>
    <row r="3" spans="2:11" ht="15.75" customHeight="1" x14ac:dyDescent="0.25">
      <c r="B3" s="5"/>
      <c r="C3" s="232" t="s">
        <v>117</v>
      </c>
      <c r="D3" s="232"/>
      <c r="E3" s="232"/>
      <c r="F3" s="232"/>
      <c r="G3" s="232"/>
      <c r="H3" s="232"/>
      <c r="I3" s="6"/>
      <c r="K3" s="52" t="s">
        <v>111</v>
      </c>
    </row>
    <row r="4" spans="2:11" ht="15.75" customHeight="1" x14ac:dyDescent="0.25">
      <c r="B4" s="5"/>
      <c r="I4" s="6"/>
    </row>
    <row r="5" spans="2:11" ht="15.75" customHeight="1" x14ac:dyDescent="0.25">
      <c r="B5" s="5"/>
      <c r="C5" s="7" t="s">
        <v>31</v>
      </c>
      <c r="D5" s="27">
        <v>2022</v>
      </c>
      <c r="E5" s="27">
        <v>2021</v>
      </c>
      <c r="F5" s="27">
        <v>2020</v>
      </c>
      <c r="G5" s="27">
        <v>2019</v>
      </c>
      <c r="H5" s="27">
        <v>2018</v>
      </c>
      <c r="I5" s="6"/>
    </row>
    <row r="6" spans="2:11" ht="15.75" customHeight="1" x14ac:dyDescent="0.25">
      <c r="B6" s="5"/>
      <c r="C6" s="8" t="s">
        <v>0</v>
      </c>
      <c r="D6" s="9"/>
      <c r="E6" s="9"/>
      <c r="F6" s="9"/>
      <c r="G6" s="9"/>
      <c r="H6" s="9"/>
      <c r="I6" s="6"/>
    </row>
    <row r="7" spans="2:11" ht="15.75" customHeight="1" x14ac:dyDescent="0.25">
      <c r="B7" s="5"/>
      <c r="C7" s="10" t="s">
        <v>1</v>
      </c>
      <c r="D7" s="54">
        <v>413680</v>
      </c>
      <c r="E7" s="54">
        <v>285640</v>
      </c>
      <c r="F7" s="54">
        <v>181502</v>
      </c>
      <c r="G7" s="54">
        <v>264938</v>
      </c>
      <c r="H7" s="54">
        <v>290212</v>
      </c>
      <c r="I7" s="6"/>
    </row>
    <row r="8" spans="2:11" ht="15.75" customHeight="1" x14ac:dyDescent="0.25">
      <c r="B8" s="5"/>
      <c r="C8" s="88" t="s">
        <v>42</v>
      </c>
      <c r="D8" s="54">
        <v>24040</v>
      </c>
      <c r="E8" s="54">
        <v>20607</v>
      </c>
      <c r="F8" s="54">
        <v>25756</v>
      </c>
      <c r="G8" s="54">
        <v>18998</v>
      </c>
      <c r="H8" s="54">
        <v>18745</v>
      </c>
      <c r="I8" s="6"/>
    </row>
    <row r="9" spans="2:11" ht="15.75" customHeight="1" x14ac:dyDescent="0.25">
      <c r="B9" s="5"/>
      <c r="C9" s="10" t="s">
        <v>2</v>
      </c>
      <c r="D9" s="54">
        <v>106952</v>
      </c>
      <c r="E9" s="54">
        <v>63206</v>
      </c>
      <c r="F9" s="54">
        <v>-398</v>
      </c>
      <c r="G9" s="54">
        <v>52646</v>
      </c>
      <c r="H9" s="54">
        <v>65667</v>
      </c>
      <c r="I9" s="6"/>
    </row>
    <row r="10" spans="2:11" ht="15.75" customHeight="1" x14ac:dyDescent="0.25">
      <c r="B10" s="5"/>
      <c r="C10" s="88" t="s">
        <v>43</v>
      </c>
      <c r="D10" s="54">
        <v>798</v>
      </c>
      <c r="E10" s="54">
        <v>947</v>
      </c>
      <c r="F10" s="54">
        <v>1158</v>
      </c>
      <c r="G10" s="54">
        <v>830</v>
      </c>
      <c r="H10" s="54">
        <v>766</v>
      </c>
      <c r="I10" s="6"/>
    </row>
    <row r="11" spans="2:11" ht="15.75" customHeight="1" x14ac:dyDescent="0.25">
      <c r="B11" s="5"/>
      <c r="C11" s="88" t="s">
        <v>44</v>
      </c>
      <c r="D11" s="54">
        <v>446</v>
      </c>
      <c r="E11" s="54">
        <v>33</v>
      </c>
      <c r="F11" s="54">
        <v>49</v>
      </c>
      <c r="G11" s="54">
        <v>84</v>
      </c>
      <c r="H11" s="54">
        <v>64</v>
      </c>
      <c r="I11" s="6"/>
    </row>
    <row r="12" spans="2:11" ht="15.75" customHeight="1" x14ac:dyDescent="0.25">
      <c r="B12" s="5"/>
      <c r="C12" s="12" t="s">
        <v>3</v>
      </c>
      <c r="D12" s="55">
        <v>57577</v>
      </c>
      <c r="E12" s="55">
        <v>23598</v>
      </c>
      <c r="F12" s="55">
        <v>-23251</v>
      </c>
      <c r="G12" s="55">
        <v>14774</v>
      </c>
      <c r="H12" s="55">
        <v>21421</v>
      </c>
      <c r="I12" s="6"/>
    </row>
    <row r="13" spans="2:11" ht="15.75" customHeight="1" x14ac:dyDescent="0.25">
      <c r="B13" s="5"/>
      <c r="C13" s="8" t="s">
        <v>4</v>
      </c>
      <c r="D13" s="9"/>
      <c r="E13" s="9"/>
      <c r="F13" s="9"/>
      <c r="G13" s="9"/>
      <c r="H13" s="9"/>
      <c r="I13" s="6"/>
    </row>
    <row r="14" spans="2:11" ht="15.75" customHeight="1" x14ac:dyDescent="0.25">
      <c r="B14" s="5"/>
      <c r="C14" s="89" t="s">
        <v>5</v>
      </c>
      <c r="D14" s="54">
        <v>29640</v>
      </c>
      <c r="E14" s="54">
        <v>6802</v>
      </c>
      <c r="F14" s="54">
        <v>4364</v>
      </c>
      <c r="G14" s="54">
        <v>3089</v>
      </c>
      <c r="H14" s="54">
        <v>3042</v>
      </c>
      <c r="I14" s="6"/>
    </row>
    <row r="15" spans="2:11" ht="15.75" customHeight="1" x14ac:dyDescent="0.25">
      <c r="B15" s="5"/>
      <c r="C15" s="88" t="s">
        <v>6</v>
      </c>
      <c r="D15" s="54">
        <v>97631</v>
      </c>
      <c r="E15" s="54">
        <v>59154</v>
      </c>
      <c r="F15" s="54">
        <v>44893</v>
      </c>
      <c r="G15" s="54">
        <v>50052</v>
      </c>
      <c r="H15" s="54">
        <v>47973</v>
      </c>
      <c r="I15" s="6"/>
    </row>
    <row r="16" spans="2:11" ht="15.75" customHeight="1" x14ac:dyDescent="0.25">
      <c r="B16" s="5"/>
      <c r="C16" s="88" t="s">
        <v>7</v>
      </c>
      <c r="D16" s="54">
        <v>271436</v>
      </c>
      <c r="E16" s="54">
        <v>279769</v>
      </c>
      <c r="F16" s="54">
        <v>287857</v>
      </c>
      <c r="G16" s="54">
        <v>312545</v>
      </c>
      <c r="H16" s="54">
        <v>298223</v>
      </c>
      <c r="I16" s="6"/>
    </row>
    <row r="17" spans="2:14" ht="15.75" customHeight="1" x14ac:dyDescent="0.25">
      <c r="B17" s="5"/>
      <c r="C17" s="10" t="s">
        <v>8</v>
      </c>
      <c r="D17" s="54">
        <f>D15+D16</f>
        <v>369067</v>
      </c>
      <c r="E17" s="54">
        <f>E15+E16</f>
        <v>338923</v>
      </c>
      <c r="F17" s="54">
        <f>F15+F16</f>
        <v>332750</v>
      </c>
      <c r="G17" s="54">
        <f>G15+G16</f>
        <v>362597</v>
      </c>
      <c r="H17" s="54">
        <f>H15+H16</f>
        <v>346196</v>
      </c>
      <c r="I17" s="6"/>
    </row>
    <row r="18" spans="2:14" ht="15.75" customHeight="1" x14ac:dyDescent="0.25">
      <c r="B18" s="5"/>
      <c r="C18" s="88" t="s">
        <v>9</v>
      </c>
      <c r="D18" s="56">
        <v>634</v>
      </c>
      <c r="E18" s="54">
        <v>4276</v>
      </c>
      <c r="F18" s="54">
        <v>20458</v>
      </c>
      <c r="G18" s="54">
        <v>20578</v>
      </c>
      <c r="H18" s="54">
        <v>17258</v>
      </c>
      <c r="I18" s="6"/>
      <c r="J18" s="17"/>
      <c r="K18" s="17"/>
      <c r="L18" s="17"/>
      <c r="M18" s="17"/>
      <c r="N18" s="17"/>
    </row>
    <row r="19" spans="2:14" ht="15.75" customHeight="1" x14ac:dyDescent="0.25">
      <c r="B19" s="5"/>
      <c r="C19" s="88" t="s">
        <v>10</v>
      </c>
      <c r="D19" s="54">
        <v>40559</v>
      </c>
      <c r="E19" s="54">
        <v>43428</v>
      </c>
      <c r="F19" s="54">
        <v>47182</v>
      </c>
      <c r="G19" s="54">
        <v>26342</v>
      </c>
      <c r="H19" s="54">
        <v>20538</v>
      </c>
      <c r="I19" s="6"/>
    </row>
    <row r="20" spans="2:14" ht="15.75" customHeight="1" x14ac:dyDescent="0.25">
      <c r="B20" s="5"/>
      <c r="C20" s="10" t="s">
        <v>11</v>
      </c>
      <c r="D20" s="54">
        <v>166594</v>
      </c>
      <c r="E20" s="54">
        <v>163240</v>
      </c>
      <c r="F20" s="54">
        <v>168620</v>
      </c>
      <c r="G20" s="54">
        <v>163659</v>
      </c>
      <c r="H20" s="54">
        <v>147668</v>
      </c>
      <c r="I20" s="6"/>
    </row>
    <row r="21" spans="2:14" ht="15.75" customHeight="1" x14ac:dyDescent="0.25">
      <c r="B21" s="5"/>
      <c r="C21" s="88" t="s">
        <v>13</v>
      </c>
      <c r="D21" s="54">
        <v>15752</v>
      </c>
      <c r="E21" s="54">
        <v>15746</v>
      </c>
      <c r="F21" s="54">
        <v>15688</v>
      </c>
      <c r="G21" s="54">
        <v>15637</v>
      </c>
      <c r="H21" s="54">
        <v>15258</v>
      </c>
      <c r="I21" s="6"/>
    </row>
    <row r="22" spans="2:14" ht="15.75" customHeight="1" x14ac:dyDescent="0.25">
      <c r="B22" s="5"/>
      <c r="C22" s="88" t="s">
        <v>15</v>
      </c>
      <c r="D22" s="54">
        <v>432860</v>
      </c>
      <c r="E22" s="54">
        <v>392059</v>
      </c>
      <c r="F22" s="54">
        <v>383943</v>
      </c>
      <c r="G22" s="54">
        <v>421341</v>
      </c>
      <c r="H22" s="54">
        <v>421653</v>
      </c>
      <c r="I22" s="6"/>
    </row>
    <row r="23" spans="2:14" ht="15.75" customHeight="1" x14ac:dyDescent="0.25">
      <c r="B23" s="5"/>
      <c r="C23" s="88" t="s">
        <v>16</v>
      </c>
      <c r="D23" s="54">
        <v>-240293</v>
      </c>
      <c r="E23" s="54">
        <v>-225464</v>
      </c>
      <c r="F23" s="54">
        <v>-225776</v>
      </c>
      <c r="G23" s="54">
        <v>-225835</v>
      </c>
      <c r="H23" s="54">
        <v>-225553</v>
      </c>
      <c r="I23" s="6"/>
    </row>
    <row r="24" spans="2:14" ht="15.75" customHeight="1" x14ac:dyDescent="0.25">
      <c r="B24" s="5"/>
      <c r="C24" s="12" t="s">
        <v>17</v>
      </c>
      <c r="D24" s="55">
        <v>202473</v>
      </c>
      <c r="E24" s="55">
        <v>175683</v>
      </c>
      <c r="F24" s="55">
        <v>164130</v>
      </c>
      <c r="G24" s="55">
        <v>198938</v>
      </c>
      <c r="H24" s="55">
        <v>198528</v>
      </c>
      <c r="I24" s="6"/>
    </row>
    <row r="25" spans="2:14" ht="15.75" customHeight="1" x14ac:dyDescent="0.25">
      <c r="B25" s="5"/>
      <c r="C25" s="8" t="s">
        <v>18</v>
      </c>
      <c r="D25" s="9"/>
      <c r="E25" s="9"/>
      <c r="F25" s="9"/>
      <c r="G25" s="9"/>
      <c r="H25" s="9"/>
      <c r="I25" s="6"/>
    </row>
    <row r="26" spans="2:14" ht="15.75" customHeight="1" x14ac:dyDescent="0.25">
      <c r="B26" s="5"/>
      <c r="C26" s="10" t="s">
        <v>19</v>
      </c>
      <c r="D26" s="54">
        <v>76797</v>
      </c>
      <c r="E26" s="54">
        <v>48129</v>
      </c>
      <c r="F26" s="54">
        <v>14668</v>
      </c>
      <c r="G26" s="54">
        <v>29716</v>
      </c>
      <c r="H26" s="54">
        <v>36014</v>
      </c>
      <c r="I26" s="6"/>
    </row>
    <row r="27" spans="2:14" ht="15.75" customHeight="1" x14ac:dyDescent="0.25">
      <c r="B27" s="5"/>
      <c r="C27" s="88" t="s">
        <v>48</v>
      </c>
      <c r="D27" s="54">
        <v>-18407</v>
      </c>
      <c r="E27" s="54">
        <v>-12076</v>
      </c>
      <c r="F27" s="54">
        <v>-17282</v>
      </c>
      <c r="G27" s="54">
        <v>-24361</v>
      </c>
      <c r="H27" s="54">
        <v>-19574</v>
      </c>
      <c r="I27" s="6"/>
    </row>
    <row r="28" spans="2:14" ht="15.75" customHeight="1" x14ac:dyDescent="0.25">
      <c r="B28" s="5"/>
      <c r="C28" s="10" t="s">
        <v>20</v>
      </c>
      <c r="D28" s="54">
        <v>-14742</v>
      </c>
      <c r="E28" s="54">
        <v>-10235</v>
      </c>
      <c r="F28" s="54">
        <v>-18459</v>
      </c>
      <c r="G28" s="54">
        <v>-23084</v>
      </c>
      <c r="H28" s="54">
        <v>-16446</v>
      </c>
      <c r="I28" s="6"/>
    </row>
    <row r="29" spans="2:14" ht="15.75" customHeight="1" x14ac:dyDescent="0.25">
      <c r="B29" s="5"/>
      <c r="C29" s="88" t="s">
        <v>45</v>
      </c>
      <c r="D29" s="54">
        <v>860</v>
      </c>
      <c r="E29" s="54">
        <v>12733</v>
      </c>
      <c r="F29" s="54">
        <v>59212</v>
      </c>
      <c r="G29" s="54">
        <v>27030</v>
      </c>
      <c r="H29" s="54">
        <v>46</v>
      </c>
      <c r="I29" s="6"/>
    </row>
    <row r="30" spans="2:14" ht="15.75" customHeight="1" x14ac:dyDescent="0.25">
      <c r="B30" s="5"/>
      <c r="C30" s="88" t="s">
        <v>46</v>
      </c>
      <c r="D30" s="54">
        <v>-8080</v>
      </c>
      <c r="E30" s="54">
        <v>-32387</v>
      </c>
      <c r="F30" s="54">
        <v>-38441</v>
      </c>
      <c r="G30" s="54">
        <v>-18368</v>
      </c>
      <c r="H30" s="54">
        <v>-4971</v>
      </c>
      <c r="I30" s="6"/>
    </row>
    <row r="31" spans="2:14" ht="15.75" customHeight="1" x14ac:dyDescent="0.25">
      <c r="B31" s="5"/>
      <c r="C31" s="88" t="s">
        <v>47</v>
      </c>
      <c r="D31" s="54">
        <v>-15206</v>
      </c>
      <c r="E31" s="54">
        <v>-15148</v>
      </c>
      <c r="F31" s="54">
        <v>-15053</v>
      </c>
      <c r="G31" s="54">
        <v>-14844</v>
      </c>
      <c r="H31" s="54">
        <v>-14041</v>
      </c>
      <c r="I31" s="6"/>
    </row>
    <row r="32" spans="2:14" ht="15.75" customHeight="1" x14ac:dyDescent="0.25">
      <c r="B32" s="5"/>
      <c r="C32" s="88" t="s">
        <v>114</v>
      </c>
      <c r="D32" s="54">
        <v>-15155</v>
      </c>
      <c r="E32" s="54">
        <v>-155</v>
      </c>
      <c r="F32" s="54">
        <v>-405</v>
      </c>
      <c r="G32" s="54">
        <v>-594</v>
      </c>
      <c r="H32" s="54">
        <v>-626</v>
      </c>
      <c r="I32" s="6"/>
    </row>
    <row r="33" spans="2:9" ht="15.75" customHeight="1" x14ac:dyDescent="0.25">
      <c r="B33" s="18"/>
      <c r="C33" s="12" t="s">
        <v>21</v>
      </c>
      <c r="D33" s="55">
        <v>-39114</v>
      </c>
      <c r="E33" s="55">
        <v>-35423</v>
      </c>
      <c r="F33" s="55">
        <v>5285</v>
      </c>
      <c r="G33" s="55">
        <v>-6618</v>
      </c>
      <c r="H33" s="55">
        <v>-19446</v>
      </c>
      <c r="I33" s="6"/>
    </row>
    <row r="34" spans="2:9" ht="15.75" customHeight="1" x14ac:dyDescent="0.25">
      <c r="B34" s="5"/>
      <c r="C34" s="8" t="s">
        <v>22</v>
      </c>
      <c r="D34" s="9"/>
      <c r="E34" s="9"/>
      <c r="F34" s="9"/>
      <c r="G34" s="9"/>
      <c r="H34" s="9"/>
      <c r="I34" s="6"/>
    </row>
    <row r="35" spans="2:9" ht="15.75" customHeight="1" x14ac:dyDescent="0.25">
      <c r="B35" s="5"/>
      <c r="C35" s="12" t="s">
        <v>23</v>
      </c>
      <c r="D35" s="55">
        <v>4082</v>
      </c>
      <c r="E35" s="55">
        <v>4239</v>
      </c>
      <c r="F35" s="55">
        <v>4233</v>
      </c>
      <c r="G35" s="55">
        <v>4234</v>
      </c>
      <c r="H35" s="55">
        <v>4237</v>
      </c>
      <c r="I35" s="6"/>
    </row>
    <row r="36" spans="2:9" ht="15.75" customHeight="1" thickBot="1" x14ac:dyDescent="0.3">
      <c r="B36" s="14"/>
      <c r="C36" s="15"/>
      <c r="D36" s="15"/>
      <c r="E36" s="15"/>
      <c r="F36" s="15"/>
      <c r="G36" s="15"/>
      <c r="H36" s="15"/>
      <c r="I36" s="16"/>
    </row>
  </sheetData>
  <mergeCells count="1">
    <mergeCell ref="C3:H3"/>
  </mergeCells>
  <hyperlinks>
    <hyperlink ref="K3" location="'Table of Content'!A1" display="Return to TOC" xr:uid="{82CE3790-4DC4-485A-B2F8-EB5CB68830FD}"/>
  </hyperlinks>
  <pageMargins left="0.2" right="0.2" top="0.25" bottom="0.25" header="0.3" footer="0.3"/>
  <pageSetup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67DE-B2B1-4F4C-87FD-809E1BFE977C}">
  <sheetPr>
    <tabColor theme="8" tint="0.59999389629810485"/>
    <pageSetUpPr fitToPage="1"/>
  </sheetPr>
  <dimension ref="B1:N40"/>
  <sheetViews>
    <sheetView showGridLines="0" workbookViewId="0">
      <selection activeCell="C3" sqref="C3:H3"/>
    </sheetView>
  </sheetViews>
  <sheetFormatPr defaultColWidth="12.7109375" defaultRowHeight="15.75" customHeight="1" x14ac:dyDescent="0.25"/>
  <cols>
    <col min="1" max="2" width="2.7109375" style="1" customWidth="1"/>
    <col min="3" max="3" width="40.7109375" style="1" customWidth="1"/>
    <col min="4" max="8" width="12.7109375" style="1"/>
    <col min="9" max="10" width="2.7109375" style="1" customWidth="1"/>
    <col min="11" max="11" width="15.7109375" style="1" customWidth="1"/>
    <col min="12" max="16384" width="12.7109375" style="1"/>
  </cols>
  <sheetData>
    <row r="1" spans="2:11" ht="15.75" customHeight="1" thickBot="1" x14ac:dyDescent="0.3"/>
    <row r="2" spans="2:11" ht="15.75" customHeight="1" x14ac:dyDescent="0.25">
      <c r="B2" s="2"/>
      <c r="C2" s="3"/>
      <c r="D2" s="3"/>
      <c r="E2" s="3"/>
      <c r="F2" s="3"/>
      <c r="G2" s="3"/>
      <c r="H2" s="3"/>
      <c r="I2" s="4"/>
    </row>
    <row r="3" spans="2:11" ht="15.75" customHeight="1" x14ac:dyDescent="0.25">
      <c r="B3" s="5"/>
      <c r="C3" s="232" t="s">
        <v>118</v>
      </c>
      <c r="D3" s="232"/>
      <c r="E3" s="232"/>
      <c r="F3" s="232"/>
      <c r="G3" s="232"/>
      <c r="H3" s="232"/>
      <c r="I3" s="6"/>
      <c r="K3" s="52" t="s">
        <v>111</v>
      </c>
    </row>
    <row r="4" spans="2:11" ht="15.75" customHeight="1" x14ac:dyDescent="0.25">
      <c r="B4" s="5"/>
      <c r="I4" s="6"/>
    </row>
    <row r="5" spans="2:11" ht="15.75" customHeight="1" x14ac:dyDescent="0.25">
      <c r="B5" s="5"/>
      <c r="C5" s="7" t="s">
        <v>31</v>
      </c>
      <c r="D5" s="27">
        <v>2022</v>
      </c>
      <c r="E5" s="27">
        <v>2021</v>
      </c>
      <c r="F5" s="27">
        <v>2020</v>
      </c>
      <c r="G5" s="27">
        <v>2019</v>
      </c>
      <c r="H5" s="27">
        <v>2018</v>
      </c>
      <c r="I5" s="6"/>
    </row>
    <row r="6" spans="2:11" ht="15.75" customHeight="1" x14ac:dyDescent="0.25">
      <c r="B6" s="5"/>
      <c r="C6" s="8" t="s">
        <v>0</v>
      </c>
      <c r="D6" s="9"/>
      <c r="E6" s="9"/>
      <c r="F6" s="9"/>
      <c r="G6" s="9"/>
      <c r="H6" s="9"/>
      <c r="I6" s="6"/>
    </row>
    <row r="7" spans="2:11" ht="15.75" customHeight="1" x14ac:dyDescent="0.25">
      <c r="B7" s="5"/>
      <c r="C7" s="10" t="s">
        <v>1</v>
      </c>
      <c r="D7" s="54">
        <v>37095</v>
      </c>
      <c r="E7" s="54">
        <v>26314</v>
      </c>
      <c r="F7" s="54">
        <v>16261</v>
      </c>
      <c r="G7" s="54">
        <v>21750</v>
      </c>
      <c r="H7" s="54">
        <v>18934</v>
      </c>
      <c r="I7" s="6"/>
    </row>
    <row r="8" spans="2:11" ht="15.75" customHeight="1" x14ac:dyDescent="0.25">
      <c r="B8" s="5"/>
      <c r="C8" s="88" t="s">
        <v>42</v>
      </c>
      <c r="D8" s="54">
        <v>6926</v>
      </c>
      <c r="E8" s="54">
        <v>8447</v>
      </c>
      <c r="F8" s="54">
        <v>8097</v>
      </c>
      <c r="G8" s="54">
        <v>6140</v>
      </c>
      <c r="H8" s="54">
        <v>3977</v>
      </c>
      <c r="I8" s="6"/>
    </row>
    <row r="9" spans="2:11" ht="15.75" customHeight="1" x14ac:dyDescent="0.25">
      <c r="B9" s="5"/>
      <c r="C9" s="10" t="s">
        <v>2</v>
      </c>
      <c r="D9" s="54">
        <v>15674</v>
      </c>
      <c r="E9" s="54">
        <v>6029</v>
      </c>
      <c r="F9" s="54">
        <v>-2184</v>
      </c>
      <c r="G9" s="54">
        <v>4662</v>
      </c>
      <c r="H9" s="54">
        <v>6666</v>
      </c>
      <c r="I9" s="6"/>
    </row>
    <row r="10" spans="2:11" ht="15.75" customHeight="1" x14ac:dyDescent="0.25">
      <c r="B10" s="5"/>
      <c r="C10" s="88" t="s">
        <v>43</v>
      </c>
      <c r="D10" s="54">
        <v>1030</v>
      </c>
      <c r="E10" s="54">
        <v>1614</v>
      </c>
      <c r="F10" s="54">
        <v>1424</v>
      </c>
      <c r="G10" s="54">
        <v>1066</v>
      </c>
      <c r="H10" s="54">
        <v>389</v>
      </c>
      <c r="I10" s="6"/>
    </row>
    <row r="11" spans="2:11" ht="15.75" customHeight="1" x14ac:dyDescent="0.25">
      <c r="B11" s="5"/>
      <c r="C11" s="88" t="s">
        <v>44</v>
      </c>
      <c r="D11" s="54">
        <v>153</v>
      </c>
      <c r="E11" s="54">
        <v>166</v>
      </c>
      <c r="F11" s="54">
        <v>118</v>
      </c>
      <c r="G11" s="54">
        <v>217</v>
      </c>
      <c r="H11" s="54">
        <v>136</v>
      </c>
      <c r="I11" s="6"/>
    </row>
    <row r="12" spans="2:11" ht="15.75" customHeight="1" x14ac:dyDescent="0.25">
      <c r="B12" s="5"/>
      <c r="C12" s="12" t="s">
        <v>3</v>
      </c>
      <c r="D12" s="55">
        <v>13304</v>
      </c>
      <c r="E12" s="55">
        <v>2322</v>
      </c>
      <c r="F12" s="55">
        <v>-14831</v>
      </c>
      <c r="G12" s="57">
        <v>-522</v>
      </c>
      <c r="H12" s="55">
        <v>4131</v>
      </c>
      <c r="I12" s="6"/>
    </row>
    <row r="13" spans="2:11" ht="15.75" customHeight="1" x14ac:dyDescent="0.25">
      <c r="B13" s="5"/>
      <c r="C13" s="8" t="s">
        <v>4</v>
      </c>
      <c r="D13" s="9"/>
      <c r="E13" s="9"/>
      <c r="F13" s="9"/>
      <c r="G13" s="9"/>
      <c r="H13" s="9"/>
      <c r="I13" s="6"/>
    </row>
    <row r="14" spans="2:11" ht="15.75" customHeight="1" x14ac:dyDescent="0.25">
      <c r="B14" s="5"/>
      <c r="C14" s="89" t="s">
        <v>5</v>
      </c>
      <c r="D14" s="56">
        <v>984</v>
      </c>
      <c r="E14" s="54">
        <v>2764</v>
      </c>
      <c r="F14" s="54">
        <v>2008</v>
      </c>
      <c r="G14" s="54">
        <v>3032</v>
      </c>
      <c r="H14" s="54">
        <v>3033</v>
      </c>
      <c r="I14" s="6"/>
    </row>
    <row r="15" spans="2:11" ht="15.75" customHeight="1" x14ac:dyDescent="0.25">
      <c r="B15" s="5"/>
      <c r="C15" s="88" t="s">
        <v>6</v>
      </c>
      <c r="D15" s="54">
        <v>8886</v>
      </c>
      <c r="E15" s="54">
        <v>10211</v>
      </c>
      <c r="F15" s="54">
        <v>8819</v>
      </c>
      <c r="G15" s="54">
        <v>14633</v>
      </c>
      <c r="H15" s="54">
        <v>9932</v>
      </c>
      <c r="I15" s="6"/>
    </row>
    <row r="16" spans="2:11" ht="15.75" customHeight="1" x14ac:dyDescent="0.25">
      <c r="B16" s="5"/>
      <c r="C16" s="88" t="s">
        <v>7</v>
      </c>
      <c r="D16" s="54">
        <v>63723</v>
      </c>
      <c r="E16" s="54">
        <v>64825</v>
      </c>
      <c r="F16" s="54">
        <v>71245</v>
      </c>
      <c r="G16" s="54">
        <v>92557</v>
      </c>
      <c r="H16" s="54">
        <v>33922</v>
      </c>
      <c r="I16" s="6"/>
    </row>
    <row r="17" spans="2:14" ht="15.75" customHeight="1" x14ac:dyDescent="0.25">
      <c r="B17" s="5"/>
      <c r="C17" s="10" t="s">
        <v>8</v>
      </c>
      <c r="D17" s="54">
        <f>D15+D16</f>
        <v>72609</v>
      </c>
      <c r="E17" s="54">
        <f>E15+E16</f>
        <v>75036</v>
      </c>
      <c r="F17" s="54">
        <f>F15+F16</f>
        <v>80064</v>
      </c>
      <c r="G17" s="54">
        <f>G15+G16</f>
        <v>107190</v>
      </c>
      <c r="H17" s="54">
        <f>H15+H16</f>
        <v>43854</v>
      </c>
      <c r="I17" s="6"/>
    </row>
    <row r="18" spans="2:14" ht="15.75" customHeight="1" x14ac:dyDescent="0.25">
      <c r="B18" s="5"/>
      <c r="C18" s="88" t="s">
        <v>9</v>
      </c>
      <c r="D18" s="56">
        <v>165</v>
      </c>
      <c r="E18" s="56">
        <v>186</v>
      </c>
      <c r="F18" s="56">
        <v>440</v>
      </c>
      <c r="G18" s="56">
        <v>51</v>
      </c>
      <c r="H18" s="56">
        <v>116</v>
      </c>
      <c r="I18" s="6"/>
    </row>
    <row r="19" spans="2:14" ht="15.75" customHeight="1" x14ac:dyDescent="0.25">
      <c r="B19" s="5"/>
      <c r="C19" s="88" t="s">
        <v>10</v>
      </c>
      <c r="D19" s="54">
        <v>19670</v>
      </c>
      <c r="E19" s="54">
        <v>29431</v>
      </c>
      <c r="F19" s="54">
        <v>35745</v>
      </c>
      <c r="G19" s="54">
        <v>38537</v>
      </c>
      <c r="H19" s="54">
        <v>10201</v>
      </c>
      <c r="I19" s="6"/>
    </row>
    <row r="20" spans="2:14" ht="15.75" customHeight="1" x14ac:dyDescent="0.25">
      <c r="B20" s="5"/>
      <c r="C20" s="10" t="s">
        <v>11</v>
      </c>
      <c r="D20" s="54">
        <v>42524</v>
      </c>
      <c r="E20" s="54">
        <v>54709</v>
      </c>
      <c r="F20" s="54">
        <v>61491</v>
      </c>
      <c r="G20" s="54">
        <v>72958</v>
      </c>
      <c r="H20" s="54">
        <v>22524</v>
      </c>
      <c r="I20" s="6"/>
    </row>
    <row r="21" spans="2:14" ht="15.75" customHeight="1" x14ac:dyDescent="0.25">
      <c r="B21" s="5"/>
      <c r="C21" s="88" t="s">
        <v>12</v>
      </c>
      <c r="D21" s="54">
        <v>9762</v>
      </c>
      <c r="E21" s="54">
        <v>9762</v>
      </c>
      <c r="F21" s="54">
        <v>9762</v>
      </c>
      <c r="G21" s="54">
        <v>9762</v>
      </c>
      <c r="H21" s="56">
        <v>0</v>
      </c>
      <c r="I21" s="6"/>
      <c r="J21" s="17"/>
      <c r="K21" s="17"/>
      <c r="L21" s="17"/>
      <c r="M21" s="17"/>
      <c r="N21" s="17"/>
    </row>
    <row r="22" spans="2:14" ht="15.75" customHeight="1" x14ac:dyDescent="0.25">
      <c r="B22" s="5"/>
      <c r="C22" s="88" t="s">
        <v>13</v>
      </c>
      <c r="D22" s="56">
        <v>220</v>
      </c>
      <c r="E22" s="56">
        <v>217</v>
      </c>
      <c r="F22" s="56">
        <v>216</v>
      </c>
      <c r="G22" s="56">
        <v>209</v>
      </c>
      <c r="H22" s="56">
        <v>179</v>
      </c>
      <c r="I22" s="6"/>
    </row>
    <row r="23" spans="2:14" ht="15.75" customHeight="1" x14ac:dyDescent="0.25">
      <c r="B23" s="5"/>
      <c r="C23" s="88" t="s">
        <v>14</v>
      </c>
      <c r="D23" s="54">
        <v>17181</v>
      </c>
      <c r="E23" s="54">
        <v>16749</v>
      </c>
      <c r="F23" s="54">
        <v>16552</v>
      </c>
      <c r="G23" s="54">
        <v>14955</v>
      </c>
      <c r="H23" s="54">
        <v>8046</v>
      </c>
      <c r="I23" s="6"/>
    </row>
    <row r="24" spans="2:14" ht="15.75" customHeight="1" x14ac:dyDescent="0.25">
      <c r="B24" s="5"/>
      <c r="C24" s="88" t="s">
        <v>15</v>
      </c>
      <c r="D24" s="54">
        <v>16499</v>
      </c>
      <c r="E24" s="54">
        <v>4480</v>
      </c>
      <c r="F24" s="54">
        <v>2996</v>
      </c>
      <c r="G24" s="54">
        <v>20180</v>
      </c>
      <c r="H24" s="54">
        <v>23750</v>
      </c>
      <c r="I24" s="6"/>
    </row>
    <row r="25" spans="2:14" ht="15.75" customHeight="1" x14ac:dyDescent="0.25">
      <c r="B25" s="5"/>
      <c r="C25" s="88" t="s">
        <v>16</v>
      </c>
      <c r="D25" s="54">
        <v>-13772</v>
      </c>
      <c r="E25" s="54">
        <v>-10673</v>
      </c>
      <c r="F25" s="54">
        <v>-10665</v>
      </c>
      <c r="G25" s="54">
        <v>-10653</v>
      </c>
      <c r="H25" s="54">
        <v>-10473</v>
      </c>
      <c r="I25" s="6"/>
    </row>
    <row r="26" spans="2:14" ht="15.75" customHeight="1" x14ac:dyDescent="0.25">
      <c r="B26" s="5"/>
      <c r="C26" s="12" t="s">
        <v>17</v>
      </c>
      <c r="D26" s="55">
        <v>30085</v>
      </c>
      <c r="E26" s="55">
        <v>20327</v>
      </c>
      <c r="F26" s="55">
        <v>18573</v>
      </c>
      <c r="G26" s="55">
        <v>34232</v>
      </c>
      <c r="H26" s="55">
        <v>21330</v>
      </c>
      <c r="I26" s="6"/>
    </row>
    <row r="27" spans="2:14" ht="15.75" customHeight="1" x14ac:dyDescent="0.25">
      <c r="B27" s="5"/>
      <c r="C27" s="8" t="s">
        <v>18</v>
      </c>
      <c r="D27" s="9"/>
      <c r="E27" s="9"/>
      <c r="F27" s="9"/>
      <c r="G27" s="9"/>
      <c r="H27" s="9"/>
      <c r="I27" s="6"/>
    </row>
    <row r="28" spans="2:14" ht="15.75" customHeight="1" x14ac:dyDescent="0.25">
      <c r="B28" s="5"/>
      <c r="C28" s="10" t="s">
        <v>19</v>
      </c>
      <c r="D28" s="54">
        <v>16810</v>
      </c>
      <c r="E28" s="54">
        <v>10434</v>
      </c>
      <c r="F28" s="54">
        <v>3955</v>
      </c>
      <c r="G28" s="54">
        <v>7375</v>
      </c>
      <c r="H28" s="54">
        <v>7669</v>
      </c>
      <c r="I28" s="6"/>
      <c r="J28" s="17"/>
      <c r="K28" s="17"/>
      <c r="L28" s="17"/>
      <c r="M28" s="17"/>
      <c r="N28" s="17"/>
    </row>
    <row r="29" spans="2:14" ht="15.75" customHeight="1" x14ac:dyDescent="0.25">
      <c r="B29" s="5"/>
      <c r="C29" s="88" t="s">
        <v>48</v>
      </c>
      <c r="D29" s="54">
        <v>-4497</v>
      </c>
      <c r="E29" s="54">
        <v>-2870</v>
      </c>
      <c r="F29" s="54">
        <v>-2535</v>
      </c>
      <c r="G29" s="54">
        <v>-6367</v>
      </c>
      <c r="H29" s="54">
        <v>-4975</v>
      </c>
      <c r="I29" s="6"/>
      <c r="J29" s="17"/>
      <c r="K29" s="17"/>
      <c r="L29" s="17"/>
      <c r="M29" s="17"/>
      <c r="N29" s="17"/>
    </row>
    <row r="30" spans="2:14" ht="15.75" customHeight="1" x14ac:dyDescent="0.25">
      <c r="B30" s="5"/>
      <c r="C30" s="10" t="s">
        <v>20</v>
      </c>
      <c r="D30" s="54">
        <v>-4872</v>
      </c>
      <c r="E30" s="54">
        <v>-1253</v>
      </c>
      <c r="F30" s="54">
        <v>-819</v>
      </c>
      <c r="G30" s="54">
        <v>-29027</v>
      </c>
      <c r="H30" s="54">
        <v>-3206</v>
      </c>
      <c r="I30" s="6"/>
    </row>
    <row r="31" spans="2:14" ht="15.75" customHeight="1" x14ac:dyDescent="0.25">
      <c r="B31" s="5"/>
      <c r="C31" s="88" t="s">
        <v>45</v>
      </c>
      <c r="D31" s="54">
        <v>0</v>
      </c>
      <c r="E31" s="54">
        <v>0</v>
      </c>
      <c r="F31" s="54">
        <v>6936</v>
      </c>
      <c r="G31" s="54">
        <v>22016</v>
      </c>
      <c r="H31" s="54">
        <v>978</v>
      </c>
      <c r="I31" s="6"/>
    </row>
    <row r="32" spans="2:14" ht="15.75" customHeight="1" x14ac:dyDescent="0.25">
      <c r="B32" s="5"/>
      <c r="C32" s="88" t="s">
        <v>46</v>
      </c>
      <c r="D32" s="54">
        <v>-9484</v>
      </c>
      <c r="E32" s="54">
        <v>-6834</v>
      </c>
      <c r="F32" s="54">
        <v>-8916</v>
      </c>
      <c r="G32" s="54">
        <v>-6959</v>
      </c>
      <c r="H32" s="54">
        <v>-500</v>
      </c>
      <c r="I32" s="6"/>
    </row>
    <row r="33" spans="2:9" ht="15.75" customHeight="1" x14ac:dyDescent="0.25">
      <c r="B33" s="5"/>
      <c r="C33" s="88" t="s">
        <v>49</v>
      </c>
      <c r="D33" s="54">
        <v>-800</v>
      </c>
      <c r="E33" s="54">
        <v>-800</v>
      </c>
      <c r="F33" s="54">
        <v>-844</v>
      </c>
      <c r="G33" s="54">
        <v>-318</v>
      </c>
      <c r="H33" s="54">
        <v>0</v>
      </c>
      <c r="I33" s="6"/>
    </row>
    <row r="34" spans="2:9" ht="15.75" customHeight="1" x14ac:dyDescent="0.25">
      <c r="B34" s="5"/>
      <c r="C34" s="88" t="s">
        <v>50</v>
      </c>
      <c r="D34" s="54">
        <v>-384</v>
      </c>
      <c r="E34" s="54">
        <v>-39</v>
      </c>
      <c r="F34" s="54">
        <v>-1001</v>
      </c>
      <c r="G34" s="54">
        <v>-2306</v>
      </c>
      <c r="H34" s="54">
        <v>-2374</v>
      </c>
      <c r="I34" s="6"/>
    </row>
    <row r="35" spans="2:9" ht="15.75" customHeight="1" x14ac:dyDescent="0.25">
      <c r="B35" s="5"/>
      <c r="C35" s="88" t="s">
        <v>114</v>
      </c>
      <c r="D35" s="54">
        <v>-3099</v>
      </c>
      <c r="E35" s="54">
        <v>-8</v>
      </c>
      <c r="F35" s="54">
        <v>-12</v>
      </c>
      <c r="G35" s="54">
        <v>-237</v>
      </c>
      <c r="H35" s="54">
        <v>-1248</v>
      </c>
      <c r="I35" s="6"/>
    </row>
    <row r="36" spans="2:9" ht="15.75" customHeight="1" x14ac:dyDescent="0.25">
      <c r="B36" s="5"/>
      <c r="C36" s="12" t="s">
        <v>21</v>
      </c>
      <c r="D36" s="55">
        <v>-13715</v>
      </c>
      <c r="E36" s="55">
        <v>-8572</v>
      </c>
      <c r="F36" s="55">
        <v>-4516</v>
      </c>
      <c r="G36" s="55">
        <v>22193</v>
      </c>
      <c r="H36" s="55">
        <v>-3102</v>
      </c>
      <c r="I36" s="6"/>
    </row>
    <row r="37" spans="2:9" ht="15.75" customHeight="1" x14ac:dyDescent="0.25">
      <c r="B37" s="5"/>
      <c r="C37" s="8" t="s">
        <v>22</v>
      </c>
      <c r="D37" s="9"/>
      <c r="E37" s="9"/>
      <c r="F37" s="9"/>
      <c r="G37" s="9"/>
      <c r="H37" s="9"/>
      <c r="I37" s="6"/>
    </row>
    <row r="38" spans="2:9" ht="15.75" customHeight="1" x14ac:dyDescent="0.25">
      <c r="B38" s="5"/>
      <c r="C38" s="10" t="s">
        <v>24</v>
      </c>
      <c r="D38" s="56">
        <v>100</v>
      </c>
      <c r="E38" s="56">
        <v>100</v>
      </c>
      <c r="F38" s="56">
        <v>100</v>
      </c>
      <c r="G38" s="56">
        <v>100</v>
      </c>
      <c r="H38" s="56">
        <v>0</v>
      </c>
      <c r="I38" s="6"/>
    </row>
    <row r="39" spans="2:9" ht="15.75" customHeight="1" x14ac:dyDescent="0.25">
      <c r="B39" s="5"/>
      <c r="C39" s="12" t="s">
        <v>23</v>
      </c>
      <c r="D39" s="57">
        <v>900</v>
      </c>
      <c r="E39" s="57">
        <v>934</v>
      </c>
      <c r="F39" s="57">
        <v>932</v>
      </c>
      <c r="G39" s="57">
        <v>894</v>
      </c>
      <c r="H39" s="57">
        <v>749</v>
      </c>
      <c r="I39" s="6"/>
    </row>
    <row r="40" spans="2:9" ht="15.75" customHeight="1" thickBot="1" x14ac:dyDescent="0.3">
      <c r="B40" s="14"/>
      <c r="C40" s="15"/>
      <c r="D40" s="15"/>
      <c r="E40" s="15"/>
      <c r="F40" s="15"/>
      <c r="G40" s="15"/>
      <c r="H40" s="15"/>
      <c r="I40" s="16"/>
    </row>
  </sheetData>
  <mergeCells count="1">
    <mergeCell ref="C3:H3"/>
  </mergeCells>
  <hyperlinks>
    <hyperlink ref="K3" location="'Table of Content'!A1" display="Return to TOC" xr:uid="{772CC5C6-6F00-48D0-A482-0B6ED5EF76A5}"/>
  </hyperlinks>
  <pageMargins left="0.2" right="0.2" top="0.25" bottom="0.25" header="0.3" footer="0.3"/>
  <pageSetup scale="94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49C0-1B40-4F0B-B6DE-B1E138FFF2FC}">
  <sheetPr>
    <tabColor theme="8" tint="0.59999389629810485"/>
    <pageSetUpPr fitToPage="1"/>
  </sheetPr>
  <dimension ref="B1:J12"/>
  <sheetViews>
    <sheetView showGridLines="0" workbookViewId="0">
      <selection activeCell="C3" sqref="C3:G3"/>
    </sheetView>
  </sheetViews>
  <sheetFormatPr defaultColWidth="12.7109375" defaultRowHeight="15.75" customHeight="1" x14ac:dyDescent="0.25"/>
  <cols>
    <col min="1" max="2" width="2.7109375" style="19" customWidth="1"/>
    <col min="3" max="3" width="26.7109375" style="19" customWidth="1"/>
    <col min="4" max="7" width="15.7109375" style="19" customWidth="1"/>
    <col min="8" max="9" width="2.7109375" style="19" customWidth="1"/>
    <col min="10" max="10" width="15.7109375" style="19" customWidth="1"/>
    <col min="11" max="16384" width="12.7109375" style="19"/>
  </cols>
  <sheetData>
    <row r="1" spans="2:10" ht="15.75" customHeight="1" thickBot="1" x14ac:dyDescent="0.3"/>
    <row r="2" spans="2:10" ht="15.75" customHeight="1" x14ac:dyDescent="0.25">
      <c r="B2" s="2"/>
      <c r="C2" s="3"/>
      <c r="D2" s="3"/>
      <c r="E2" s="3"/>
      <c r="F2" s="3"/>
      <c r="G2" s="3"/>
      <c r="H2" s="4"/>
    </row>
    <row r="3" spans="2:10" ht="15.75" customHeight="1" x14ac:dyDescent="0.25">
      <c r="B3" s="5"/>
      <c r="C3" s="233" t="s">
        <v>122</v>
      </c>
      <c r="D3" s="233"/>
      <c r="E3" s="233"/>
      <c r="F3" s="233"/>
      <c r="G3" s="233"/>
      <c r="H3" s="6"/>
      <c r="J3" s="51" t="s">
        <v>111</v>
      </c>
    </row>
    <row r="4" spans="2:10" ht="15.75" customHeight="1" x14ac:dyDescent="0.25">
      <c r="B4" s="5"/>
      <c r="C4" s="1"/>
      <c r="D4" s="1"/>
      <c r="E4" s="1"/>
      <c r="F4" s="1"/>
      <c r="G4" s="1"/>
      <c r="H4" s="6"/>
    </row>
    <row r="5" spans="2:10" ht="15.75" customHeight="1" x14ac:dyDescent="0.25">
      <c r="B5" s="5"/>
      <c r="C5" s="20"/>
      <c r="D5" s="21" t="s">
        <v>25</v>
      </c>
      <c r="E5" s="21" t="s">
        <v>26</v>
      </c>
      <c r="F5" s="21" t="s">
        <v>27</v>
      </c>
      <c r="G5" s="21" t="s">
        <v>28</v>
      </c>
      <c r="H5" s="6"/>
    </row>
    <row r="6" spans="2:10" ht="15.75" customHeight="1" x14ac:dyDescent="0.25">
      <c r="B6" s="5"/>
      <c r="C6" s="104" t="s">
        <v>127</v>
      </c>
      <c r="D6" s="58">
        <v>29.36</v>
      </c>
      <c r="E6" s="59">
        <v>163.16</v>
      </c>
      <c r="F6" s="59">
        <v>109.66</v>
      </c>
      <c r="G6" s="59">
        <v>62.43</v>
      </c>
      <c r="H6" s="6"/>
    </row>
    <row r="7" spans="2:10" ht="15.75" customHeight="1" x14ac:dyDescent="0.25">
      <c r="B7" s="5"/>
      <c r="C7" s="98" t="s">
        <v>142</v>
      </c>
      <c r="D7" s="58">
        <v>29.18</v>
      </c>
      <c r="E7" s="59">
        <v>179.49</v>
      </c>
      <c r="F7" s="59">
        <v>110.3</v>
      </c>
      <c r="G7" s="59">
        <v>62.99</v>
      </c>
      <c r="H7" s="6"/>
    </row>
    <row r="8" spans="2:10" ht="15.75" customHeight="1" x14ac:dyDescent="0.25">
      <c r="B8" s="5"/>
      <c r="C8" s="98" t="s">
        <v>141</v>
      </c>
      <c r="D8" s="58">
        <v>29.59</v>
      </c>
      <c r="E8" s="59">
        <v>117.35</v>
      </c>
      <c r="F8" s="59">
        <v>61.19</v>
      </c>
      <c r="G8" s="59">
        <v>28.99</v>
      </c>
      <c r="H8" s="6"/>
    </row>
    <row r="9" spans="2:10" ht="15.75" customHeight="1" x14ac:dyDescent="0.25">
      <c r="B9" s="5"/>
      <c r="C9" s="98" t="s">
        <v>138</v>
      </c>
      <c r="D9" s="58">
        <v>28.93</v>
      </c>
      <c r="E9" s="59">
        <v>84.45</v>
      </c>
      <c r="F9" s="59">
        <v>41.22</v>
      </c>
      <c r="G9" s="59">
        <v>17.309999999999999</v>
      </c>
      <c r="H9" s="6"/>
    </row>
    <row r="10" spans="2:10" ht="15.75" customHeight="1" x14ac:dyDescent="0.25">
      <c r="B10" s="5"/>
      <c r="C10" s="98" t="s">
        <v>139</v>
      </c>
      <c r="D10" s="58">
        <v>26.48</v>
      </c>
      <c r="E10" s="59">
        <v>120.51</v>
      </c>
      <c r="F10" s="59">
        <v>69.78</v>
      </c>
      <c r="G10" s="59">
        <v>41.21</v>
      </c>
      <c r="H10" s="6"/>
    </row>
    <row r="11" spans="2:10" ht="15.75" customHeight="1" x14ac:dyDescent="0.25">
      <c r="B11" s="5"/>
      <c r="C11" s="97" t="s">
        <v>140</v>
      </c>
      <c r="D11" s="20"/>
      <c r="E11" s="63">
        <v>108.79</v>
      </c>
      <c r="F11" s="63">
        <v>68.19</v>
      </c>
      <c r="G11" s="63">
        <v>61.38</v>
      </c>
      <c r="H11" s="6"/>
    </row>
    <row r="12" spans="2:10" ht="15.75" customHeight="1" thickBot="1" x14ac:dyDescent="0.3">
      <c r="B12" s="14"/>
      <c r="C12" s="15"/>
      <c r="D12" s="15"/>
      <c r="E12" s="15"/>
      <c r="F12" s="15"/>
      <c r="G12" s="15"/>
      <c r="H12" s="16"/>
    </row>
  </sheetData>
  <mergeCells count="1">
    <mergeCell ref="C3:G3"/>
  </mergeCells>
  <hyperlinks>
    <hyperlink ref="J3" location="'Table of Content'!A1" display="Return to TOC" xr:uid="{D28E8E75-613C-4EAD-9EFC-5874975EFCFD}"/>
  </hyperlinks>
  <pageMargins left="0.2" right="0.2" top="0.25" bottom="0.25" header="0.3" footer="0.3"/>
  <pageSetup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FBCB-7300-4AC2-BA30-6F12E502C9F1}">
  <sheetPr>
    <tabColor theme="8" tint="0.59999389629810485"/>
    <pageSetUpPr fitToPage="1"/>
  </sheetPr>
  <dimension ref="B1:K57"/>
  <sheetViews>
    <sheetView showGridLines="0" workbookViewId="0">
      <selection activeCell="C3" sqref="C3:H3"/>
    </sheetView>
  </sheetViews>
  <sheetFormatPr defaultColWidth="12.7109375" defaultRowHeight="15.75" customHeight="1" x14ac:dyDescent="0.25"/>
  <cols>
    <col min="1" max="2" width="2.7109375" style="19" customWidth="1"/>
    <col min="3" max="3" width="15.7109375" style="19" customWidth="1"/>
    <col min="4" max="4" width="30.7109375" style="19" customWidth="1"/>
    <col min="5" max="8" width="15.7109375" style="19" customWidth="1"/>
    <col min="9" max="10" width="2.7109375" style="19" customWidth="1"/>
    <col min="11" max="11" width="15.7109375" style="19" customWidth="1"/>
    <col min="12" max="16384" width="12.7109375" style="19"/>
  </cols>
  <sheetData>
    <row r="1" spans="2:11" ht="15.75" customHeight="1" thickBot="1" x14ac:dyDescent="0.3"/>
    <row r="2" spans="2:11" ht="15.75" customHeight="1" x14ac:dyDescent="0.25">
      <c r="B2" s="2"/>
      <c r="C2" s="3"/>
      <c r="D2" s="3"/>
      <c r="E2" s="3"/>
      <c r="F2" s="3"/>
      <c r="G2" s="3"/>
      <c r="H2" s="3"/>
      <c r="I2" s="4"/>
    </row>
    <row r="3" spans="2:11" ht="15.75" customHeight="1" x14ac:dyDescent="0.25">
      <c r="B3" s="5"/>
      <c r="C3" s="232" t="s">
        <v>123</v>
      </c>
      <c r="D3" s="232"/>
      <c r="E3" s="232"/>
      <c r="F3" s="232"/>
      <c r="G3" s="232"/>
      <c r="H3" s="232"/>
      <c r="I3" s="6"/>
      <c r="K3" s="51" t="s">
        <v>111</v>
      </c>
    </row>
    <row r="4" spans="2:11" ht="15.75" customHeight="1" x14ac:dyDescent="0.25">
      <c r="B4" s="5"/>
      <c r="C4" s="1"/>
      <c r="D4" s="1"/>
      <c r="E4" s="1"/>
      <c r="F4" s="1"/>
      <c r="G4" s="1"/>
      <c r="H4" s="1"/>
      <c r="I4" s="6"/>
    </row>
    <row r="5" spans="2:11" ht="15.75" customHeight="1" x14ac:dyDescent="0.25">
      <c r="B5" s="5"/>
      <c r="C5" s="1"/>
      <c r="D5" s="1"/>
      <c r="E5" s="21" t="s">
        <v>25</v>
      </c>
      <c r="F5" s="21" t="s">
        <v>26</v>
      </c>
      <c r="G5" s="21" t="s">
        <v>27</v>
      </c>
      <c r="H5" s="21" t="s">
        <v>28</v>
      </c>
      <c r="I5" s="6"/>
    </row>
    <row r="6" spans="2:11" ht="15.75" customHeight="1" x14ac:dyDescent="0.25">
      <c r="B6" s="5"/>
      <c r="C6" s="1"/>
      <c r="D6" s="1"/>
      <c r="E6" s="99"/>
      <c r="F6" s="99"/>
      <c r="G6" s="99"/>
      <c r="H6" s="99"/>
      <c r="I6" s="6"/>
    </row>
    <row r="7" spans="2:11" ht="15.75" customHeight="1" x14ac:dyDescent="0.25">
      <c r="B7" s="5"/>
      <c r="C7" s="100" t="s">
        <v>124</v>
      </c>
      <c r="D7" s="101" t="s">
        <v>75</v>
      </c>
      <c r="E7" s="102">
        <v>0.33</v>
      </c>
      <c r="F7" s="103">
        <v>1.51</v>
      </c>
      <c r="G7" s="103">
        <v>0.91</v>
      </c>
      <c r="H7" s="103">
        <v>0.13</v>
      </c>
      <c r="I7" s="6"/>
    </row>
    <row r="8" spans="2:11" ht="15.75" customHeight="1" x14ac:dyDescent="0.25">
      <c r="B8" s="5"/>
      <c r="C8" s="1"/>
      <c r="D8" s="1"/>
      <c r="E8" s="1"/>
      <c r="F8" s="1"/>
      <c r="G8" s="1"/>
      <c r="H8" s="1"/>
      <c r="I8" s="6"/>
    </row>
    <row r="9" spans="2:11" ht="15.75" customHeight="1" x14ac:dyDescent="0.25">
      <c r="B9" s="5"/>
      <c r="C9" s="234">
        <v>2022</v>
      </c>
      <c r="D9" s="29" t="s">
        <v>71</v>
      </c>
      <c r="E9" s="66">
        <v>161068</v>
      </c>
      <c r="F9" s="66">
        <v>35608</v>
      </c>
      <c r="G9" s="66">
        <v>57577</v>
      </c>
      <c r="H9" s="66">
        <v>13304</v>
      </c>
      <c r="I9" s="6"/>
    </row>
    <row r="10" spans="2:11" ht="15.75" customHeight="1" x14ac:dyDescent="0.25">
      <c r="B10" s="5"/>
      <c r="C10" s="235"/>
      <c r="D10" s="30" t="s">
        <v>74</v>
      </c>
      <c r="E10" s="1"/>
      <c r="F10" s="1"/>
      <c r="G10" s="1"/>
      <c r="H10" s="54">
        <v>800</v>
      </c>
      <c r="I10" s="6"/>
    </row>
    <row r="11" spans="2:11" ht="15.75" customHeight="1" x14ac:dyDescent="0.25">
      <c r="B11" s="5"/>
      <c r="C11" s="235"/>
      <c r="D11" s="28" t="s">
        <v>108</v>
      </c>
      <c r="E11" s="54">
        <v>78862.666666666672</v>
      </c>
      <c r="F11" s="54">
        <v>10968</v>
      </c>
      <c r="G11" s="54">
        <v>15206</v>
      </c>
      <c r="H11" s="54">
        <v>384</v>
      </c>
      <c r="I11" s="6"/>
    </row>
    <row r="12" spans="2:11" ht="15.75" customHeight="1" x14ac:dyDescent="0.25">
      <c r="B12" s="5"/>
      <c r="C12" s="235"/>
      <c r="D12" s="7" t="s">
        <v>109</v>
      </c>
      <c r="E12" s="55">
        <v>596.26666666666665</v>
      </c>
      <c r="F12" s="55">
        <v>5417</v>
      </c>
      <c r="G12" s="55">
        <v>15155</v>
      </c>
      <c r="H12" s="55">
        <v>3099</v>
      </c>
      <c r="I12" s="6"/>
    </row>
    <row r="13" spans="2:11" ht="15.75" customHeight="1" x14ac:dyDescent="0.25">
      <c r="B13" s="5"/>
      <c r="C13" s="235"/>
      <c r="D13" s="28" t="s">
        <v>72</v>
      </c>
      <c r="E13" s="64">
        <v>0.73212727272727274</v>
      </c>
      <c r="F13" s="64">
        <v>18.594255874673628</v>
      </c>
      <c r="G13" s="64">
        <v>14.105095541401274</v>
      </c>
      <c r="H13" s="64">
        <v>14.782222222222222</v>
      </c>
      <c r="I13" s="6"/>
    </row>
    <row r="14" spans="2:11" ht="15.75" customHeight="1" x14ac:dyDescent="0.25">
      <c r="B14" s="5"/>
      <c r="C14" s="236"/>
      <c r="D14" s="7" t="s">
        <v>73</v>
      </c>
      <c r="E14" s="65">
        <v>0.35846666666666671</v>
      </c>
      <c r="F14" s="65">
        <v>5.7274151436031335</v>
      </c>
      <c r="G14" s="65">
        <v>3.7251347378735913</v>
      </c>
      <c r="H14" s="65">
        <v>0.42666666666666669</v>
      </c>
      <c r="I14" s="6"/>
    </row>
    <row r="15" spans="2:11" ht="15.75" customHeight="1" x14ac:dyDescent="0.25">
      <c r="B15" s="5"/>
      <c r="C15" s="1"/>
      <c r="D15" s="1"/>
      <c r="E15" s="1"/>
      <c r="F15" s="1"/>
      <c r="G15" s="1"/>
      <c r="H15" s="1"/>
      <c r="I15" s="6"/>
    </row>
    <row r="16" spans="2:11" ht="15.75" customHeight="1" x14ac:dyDescent="0.25">
      <c r="B16" s="5"/>
      <c r="C16" s="234">
        <v>2021</v>
      </c>
      <c r="D16" s="29" t="s">
        <v>71</v>
      </c>
      <c r="E16" s="66">
        <v>109972.26666666666</v>
      </c>
      <c r="F16" s="66">
        <v>15689</v>
      </c>
      <c r="G16" s="66">
        <v>23598</v>
      </c>
      <c r="H16" s="66">
        <v>2322</v>
      </c>
      <c r="I16" s="6"/>
    </row>
    <row r="17" spans="2:9" ht="15.75" customHeight="1" x14ac:dyDescent="0.25">
      <c r="B17" s="5"/>
      <c r="C17" s="235"/>
      <c r="D17" s="30" t="s">
        <v>74</v>
      </c>
      <c r="E17" s="1"/>
      <c r="F17" s="1"/>
      <c r="G17" s="1"/>
      <c r="H17" s="54">
        <v>800</v>
      </c>
      <c r="I17" s="6"/>
    </row>
    <row r="18" spans="2:9" ht="15.75" customHeight="1" x14ac:dyDescent="0.25">
      <c r="B18" s="5"/>
      <c r="C18" s="235"/>
      <c r="D18" s="28" t="s">
        <v>108</v>
      </c>
      <c r="E18" s="54">
        <v>76911.199999999997</v>
      </c>
      <c r="F18" s="54">
        <v>10179</v>
      </c>
      <c r="G18" s="54">
        <v>15148</v>
      </c>
      <c r="H18" s="54">
        <v>39</v>
      </c>
      <c r="I18" s="6"/>
    </row>
    <row r="19" spans="2:9" ht="15.75" customHeight="1" x14ac:dyDescent="0.25">
      <c r="B19" s="5"/>
      <c r="C19" s="235"/>
      <c r="D19" s="7" t="s">
        <v>109</v>
      </c>
      <c r="E19" s="55">
        <v>754.13333333333333</v>
      </c>
      <c r="F19" s="55">
        <v>-38</v>
      </c>
      <c r="G19" s="55">
        <v>155</v>
      </c>
      <c r="H19" s="55">
        <v>8</v>
      </c>
      <c r="I19" s="6"/>
    </row>
    <row r="20" spans="2:9" ht="15.75" customHeight="1" x14ac:dyDescent="0.25">
      <c r="B20" s="5"/>
      <c r="C20" s="235"/>
      <c r="D20" s="28" t="s">
        <v>72</v>
      </c>
      <c r="E20" s="64">
        <v>0.54986133333333331</v>
      </c>
      <c r="F20" s="64">
        <v>8.1290155440414509</v>
      </c>
      <c r="G20" s="64">
        <v>5.5668789808917198</v>
      </c>
      <c r="H20" s="64">
        <v>2.4860813704496789</v>
      </c>
      <c r="I20" s="6"/>
    </row>
    <row r="21" spans="2:9" ht="15.75" customHeight="1" x14ac:dyDescent="0.25">
      <c r="B21" s="5"/>
      <c r="C21" s="236"/>
      <c r="D21" s="7" t="s">
        <v>73</v>
      </c>
      <c r="E21" s="65">
        <v>0.38455600000000001</v>
      </c>
      <c r="F21" s="65">
        <v>5.2740932642487044</v>
      </c>
      <c r="G21" s="65">
        <v>3.5734843123378157</v>
      </c>
      <c r="H21" s="65">
        <v>4.17558886509636E-2</v>
      </c>
      <c r="I21" s="6"/>
    </row>
    <row r="22" spans="2:9" ht="15.75" customHeight="1" x14ac:dyDescent="0.25">
      <c r="B22" s="5"/>
      <c r="C22" s="1"/>
      <c r="D22" s="1"/>
      <c r="E22" s="1"/>
      <c r="F22" s="1"/>
      <c r="G22" s="1"/>
      <c r="H22" s="1"/>
      <c r="I22" s="6"/>
    </row>
    <row r="23" spans="2:9" ht="15.75" customHeight="1" x14ac:dyDescent="0.25">
      <c r="B23" s="5"/>
      <c r="C23" s="234">
        <v>2020</v>
      </c>
      <c r="D23" s="29" t="s">
        <v>71</v>
      </c>
      <c r="E23" s="66">
        <v>49003.466666666667</v>
      </c>
      <c r="F23" s="66">
        <v>-5561</v>
      </c>
      <c r="G23" s="66">
        <v>-23251</v>
      </c>
      <c r="H23" s="66">
        <v>-14831</v>
      </c>
      <c r="I23" s="6"/>
    </row>
    <row r="24" spans="2:9" ht="15.75" customHeight="1" x14ac:dyDescent="0.25">
      <c r="B24" s="5"/>
      <c r="C24" s="235"/>
      <c r="D24" s="30" t="s">
        <v>74</v>
      </c>
      <c r="E24" s="1"/>
      <c r="F24" s="1"/>
      <c r="G24" s="1"/>
      <c r="H24" s="54">
        <v>844</v>
      </c>
      <c r="I24" s="6"/>
    </row>
    <row r="25" spans="2:9" ht="15.75" customHeight="1" x14ac:dyDescent="0.25">
      <c r="B25" s="5"/>
      <c r="C25" s="235"/>
      <c r="D25" s="28" t="s">
        <v>108</v>
      </c>
      <c r="E25" s="54">
        <v>69840.53333333334</v>
      </c>
      <c r="F25" s="54">
        <v>9651</v>
      </c>
      <c r="G25" s="54">
        <v>15053</v>
      </c>
      <c r="H25" s="54">
        <v>1001</v>
      </c>
      <c r="I25" s="6"/>
    </row>
    <row r="26" spans="2:9" ht="15.75" customHeight="1" x14ac:dyDescent="0.25">
      <c r="B26" s="5"/>
      <c r="C26" s="235"/>
      <c r="D26" s="7" t="s">
        <v>109</v>
      </c>
      <c r="E26" s="55">
        <v>870.4</v>
      </c>
      <c r="F26" s="55">
        <v>1531</v>
      </c>
      <c r="G26" s="55">
        <v>405</v>
      </c>
      <c r="H26" s="55">
        <v>12</v>
      </c>
      <c r="I26" s="6"/>
    </row>
    <row r="27" spans="2:9" ht="15.75" customHeight="1" x14ac:dyDescent="0.25">
      <c r="B27" s="5"/>
      <c r="C27" s="235"/>
      <c r="D27" s="28" t="s">
        <v>72</v>
      </c>
      <c r="E27" s="64">
        <v>0.24501733333333334</v>
      </c>
      <c r="F27" s="64">
        <v>-2.8888311688311687</v>
      </c>
      <c r="G27" s="64">
        <v>-5.4927947082447437</v>
      </c>
      <c r="H27" s="64">
        <v>-15.913090128755364</v>
      </c>
      <c r="I27" s="6"/>
    </row>
    <row r="28" spans="2:9" ht="15.75" customHeight="1" x14ac:dyDescent="0.25">
      <c r="B28" s="5"/>
      <c r="C28" s="236"/>
      <c r="D28" s="7" t="s">
        <v>73</v>
      </c>
      <c r="E28" s="65">
        <v>0.34920266666666672</v>
      </c>
      <c r="F28" s="65">
        <v>5.0135064935064939</v>
      </c>
      <c r="G28" s="65">
        <v>3.5561067800614223</v>
      </c>
      <c r="H28" s="65">
        <v>1.0740343347639485</v>
      </c>
      <c r="I28" s="6"/>
    </row>
    <row r="29" spans="2:9" ht="15.75" customHeight="1" x14ac:dyDescent="0.25">
      <c r="B29" s="5"/>
      <c r="C29" s="1"/>
      <c r="D29" s="1"/>
      <c r="E29" s="1"/>
      <c r="F29" s="1"/>
      <c r="G29" s="1"/>
      <c r="H29" s="1"/>
      <c r="I29" s="6"/>
    </row>
    <row r="30" spans="2:9" ht="15.75" customHeight="1" x14ac:dyDescent="0.25">
      <c r="B30" s="5"/>
      <c r="C30" s="234">
        <v>2019</v>
      </c>
      <c r="D30" s="29" t="s">
        <v>71</v>
      </c>
      <c r="E30" s="66">
        <v>88184.8</v>
      </c>
      <c r="F30" s="66">
        <v>2845</v>
      </c>
      <c r="G30" s="66">
        <v>14774</v>
      </c>
      <c r="H30" s="66">
        <v>-522</v>
      </c>
      <c r="I30" s="6"/>
    </row>
    <row r="31" spans="2:9" ht="15.75" customHeight="1" x14ac:dyDescent="0.25">
      <c r="B31" s="5"/>
      <c r="C31" s="235"/>
      <c r="D31" s="30" t="s">
        <v>74</v>
      </c>
      <c r="E31" s="1"/>
      <c r="F31" s="1"/>
      <c r="G31" s="1"/>
      <c r="H31" s="54">
        <v>318</v>
      </c>
      <c r="I31" s="6"/>
    </row>
    <row r="32" spans="2:9" ht="15.75" customHeight="1" x14ac:dyDescent="0.25">
      <c r="B32" s="5"/>
      <c r="C32" s="235"/>
      <c r="D32" s="28" t="s">
        <v>108</v>
      </c>
      <c r="E32" s="54">
        <v>73179.733333333337</v>
      </c>
      <c r="F32" s="54">
        <v>8959</v>
      </c>
      <c r="G32" s="54">
        <v>14844</v>
      </c>
      <c r="H32" s="54">
        <v>2306</v>
      </c>
      <c r="I32" s="6"/>
    </row>
    <row r="33" spans="2:9" ht="15.75" customHeight="1" x14ac:dyDescent="0.25">
      <c r="B33" s="5"/>
      <c r="C33" s="235"/>
      <c r="D33" s="7" t="s">
        <v>109</v>
      </c>
      <c r="E33" s="55">
        <v>1000</v>
      </c>
      <c r="F33" s="55">
        <v>2935</v>
      </c>
      <c r="G33" s="55">
        <v>594</v>
      </c>
      <c r="H33" s="55">
        <v>237</v>
      </c>
      <c r="I33" s="6"/>
    </row>
    <row r="34" spans="2:9" ht="15.75" customHeight="1" x14ac:dyDescent="0.25">
      <c r="B34" s="5"/>
      <c r="C34" s="235"/>
      <c r="D34" s="28" t="s">
        <v>72</v>
      </c>
      <c r="E34" s="64">
        <v>0.44092400000000004</v>
      </c>
      <c r="F34" s="64">
        <v>1.5116896918172158</v>
      </c>
      <c r="G34" s="64">
        <v>3.4893717524799244</v>
      </c>
      <c r="H34" s="64">
        <v>-0.58389261744966447</v>
      </c>
      <c r="I34" s="6"/>
    </row>
    <row r="35" spans="2:9" ht="15.75" customHeight="1" x14ac:dyDescent="0.25">
      <c r="B35" s="5"/>
      <c r="C35" s="236"/>
      <c r="D35" s="7" t="s">
        <v>73</v>
      </c>
      <c r="E35" s="65">
        <v>0.36589866666666671</v>
      </c>
      <c r="F35" s="65">
        <v>4.7603613177470772</v>
      </c>
      <c r="G35" s="65">
        <v>3.5059045819555976</v>
      </c>
      <c r="H35" s="65">
        <v>2.5794183445190155</v>
      </c>
      <c r="I35" s="6"/>
    </row>
    <row r="36" spans="2:9" ht="15.75" customHeight="1" x14ac:dyDescent="0.25">
      <c r="B36" s="5"/>
      <c r="C36" s="1"/>
      <c r="D36" s="1"/>
      <c r="E36" s="1"/>
      <c r="F36" s="1"/>
      <c r="G36" s="1"/>
      <c r="H36" s="1"/>
      <c r="I36" s="6"/>
    </row>
    <row r="37" spans="2:9" ht="15.75" customHeight="1" x14ac:dyDescent="0.25">
      <c r="B37" s="5"/>
      <c r="C37" s="234">
        <v>2018</v>
      </c>
      <c r="D37" s="29" t="s">
        <v>71</v>
      </c>
      <c r="E37" s="66">
        <v>111071.46666666666</v>
      </c>
      <c r="F37" s="66">
        <v>14860</v>
      </c>
      <c r="G37" s="66">
        <v>21421</v>
      </c>
      <c r="H37" s="66">
        <v>4131</v>
      </c>
      <c r="I37" s="6"/>
    </row>
    <row r="38" spans="2:9" ht="15.75" customHeight="1" x14ac:dyDescent="0.25">
      <c r="B38" s="5"/>
      <c r="C38" s="235"/>
      <c r="D38" s="30" t="s">
        <v>74</v>
      </c>
      <c r="E38" s="1"/>
      <c r="F38" s="1"/>
      <c r="G38" s="1"/>
      <c r="H38" s="54">
        <v>0</v>
      </c>
      <c r="I38" s="6"/>
    </row>
    <row r="39" spans="2:9" ht="15.75" customHeight="1" x14ac:dyDescent="0.25">
      <c r="B39" s="5"/>
      <c r="C39" s="235"/>
      <c r="D39" s="28" t="s">
        <v>108</v>
      </c>
      <c r="E39" s="54">
        <v>58240.533333333333</v>
      </c>
      <c r="F39" s="54">
        <v>8502</v>
      </c>
      <c r="G39" s="54">
        <v>14041</v>
      </c>
      <c r="H39" s="54">
        <v>2374</v>
      </c>
      <c r="I39" s="6"/>
    </row>
    <row r="40" spans="2:9" ht="15.75" customHeight="1" x14ac:dyDescent="0.25">
      <c r="B40" s="5"/>
      <c r="C40" s="235"/>
      <c r="D40" s="7" t="s">
        <v>109</v>
      </c>
      <c r="E40" s="55">
        <v>0</v>
      </c>
      <c r="F40" s="55">
        <v>604</v>
      </c>
      <c r="G40" s="55">
        <v>626</v>
      </c>
      <c r="H40" s="55">
        <v>1248</v>
      </c>
      <c r="I40" s="6"/>
    </row>
    <row r="41" spans="2:9" ht="15.75" customHeight="1" x14ac:dyDescent="0.25">
      <c r="B41" s="5"/>
      <c r="C41" s="235"/>
      <c r="D41" s="28" t="s">
        <v>72</v>
      </c>
      <c r="E41" s="64">
        <v>0.55535733333333326</v>
      </c>
      <c r="F41" s="64">
        <v>7.8087230688386757</v>
      </c>
      <c r="G41" s="64">
        <v>5.0556997875855556</v>
      </c>
      <c r="H41" s="64">
        <v>5.5153538050734312</v>
      </c>
      <c r="I41" s="6"/>
    </row>
    <row r="42" spans="2:9" ht="15.75" customHeight="1" x14ac:dyDescent="0.25">
      <c r="B42" s="5"/>
      <c r="C42" s="236"/>
      <c r="D42" s="7" t="s">
        <v>73</v>
      </c>
      <c r="E42" s="65">
        <v>0.29120266666666667</v>
      </c>
      <c r="F42" s="65">
        <v>4.4676826064109303</v>
      </c>
      <c r="G42" s="65">
        <v>3.3139013452914798</v>
      </c>
      <c r="H42" s="65">
        <v>3.1695594125500666</v>
      </c>
      <c r="I42" s="6"/>
    </row>
    <row r="43" spans="2:9" ht="15.75" customHeight="1" thickBot="1" x14ac:dyDescent="0.3">
      <c r="B43" s="14"/>
      <c r="C43" s="15"/>
      <c r="D43" s="15"/>
      <c r="E43" s="15"/>
      <c r="F43" s="15"/>
      <c r="G43" s="15"/>
      <c r="H43" s="15"/>
      <c r="I43" s="16"/>
    </row>
    <row r="44" spans="2:9" ht="15.75" customHeight="1" x14ac:dyDescent="0.25">
      <c r="D44" s="1"/>
    </row>
    <row r="45" spans="2:9" ht="15.75" customHeight="1" x14ac:dyDescent="0.25">
      <c r="D45" s="1"/>
    </row>
    <row r="46" spans="2:9" ht="15.75" customHeight="1" x14ac:dyDescent="0.25">
      <c r="D46" s="1"/>
    </row>
    <row r="47" spans="2:9" ht="15.75" customHeight="1" x14ac:dyDescent="0.25">
      <c r="D47" s="1"/>
    </row>
    <row r="48" spans="2:9" ht="15.75" customHeight="1" x14ac:dyDescent="0.25">
      <c r="D48" s="1"/>
    </row>
    <row r="49" spans="4:4" ht="15.75" customHeight="1" x14ac:dyDescent="0.25">
      <c r="D49" s="1"/>
    </row>
    <row r="50" spans="4:4" ht="15.75" customHeight="1" x14ac:dyDescent="0.25">
      <c r="D50" s="1"/>
    </row>
    <row r="51" spans="4:4" ht="15.75" customHeight="1" x14ac:dyDescent="0.25">
      <c r="D51" s="1"/>
    </row>
    <row r="52" spans="4:4" ht="15.75" customHeight="1" x14ac:dyDescent="0.25">
      <c r="D52" s="1"/>
    </row>
    <row r="53" spans="4:4" ht="15.75" customHeight="1" x14ac:dyDescent="0.25">
      <c r="D53" s="1"/>
    </row>
    <row r="54" spans="4:4" ht="15.75" customHeight="1" x14ac:dyDescent="0.25">
      <c r="D54" s="1"/>
    </row>
    <row r="55" spans="4:4" ht="15.75" customHeight="1" x14ac:dyDescent="0.25">
      <c r="D55" s="1"/>
    </row>
    <row r="56" spans="4:4" ht="15.75" customHeight="1" x14ac:dyDescent="0.25">
      <c r="D56" s="1"/>
    </row>
    <row r="57" spans="4:4" ht="15.75" customHeight="1" x14ac:dyDescent="0.25">
      <c r="D57" s="1"/>
    </row>
  </sheetData>
  <mergeCells count="6">
    <mergeCell ref="C30:C35"/>
    <mergeCell ref="C37:C42"/>
    <mergeCell ref="C3:H3"/>
    <mergeCell ref="C9:C14"/>
    <mergeCell ref="C16:C21"/>
    <mergeCell ref="C23:C28"/>
  </mergeCells>
  <hyperlinks>
    <hyperlink ref="K3" location="'Table of Content'!A1" display="Return to TOC" xr:uid="{92A1F0F4-0468-4550-8D23-9E14471C22FB}"/>
  </hyperlinks>
  <pageMargins left="0.2" right="0.2" top="0.25" bottom="0.25" header="0.3" footer="0.3"/>
  <pageSetup scale="87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3919-6B54-4FC5-9249-95B27E19C311}">
  <sheetPr>
    <tabColor theme="8" tint="0.59999389629810485"/>
    <pageSetUpPr fitToPage="1"/>
  </sheetPr>
  <dimension ref="B1:J7"/>
  <sheetViews>
    <sheetView showGridLines="0" workbookViewId="0">
      <selection activeCell="C3" sqref="C3:G3"/>
    </sheetView>
  </sheetViews>
  <sheetFormatPr defaultColWidth="12.7109375" defaultRowHeight="15.75" customHeight="1" x14ac:dyDescent="0.25"/>
  <cols>
    <col min="1" max="2" width="2.7109375" style="19" customWidth="1"/>
    <col min="3" max="7" width="15.7109375" style="19" customWidth="1"/>
    <col min="8" max="9" width="2.7109375" style="19" customWidth="1"/>
    <col min="10" max="10" width="15.7109375" style="19" customWidth="1"/>
    <col min="11" max="16384" width="12.7109375" style="19"/>
  </cols>
  <sheetData>
    <row r="1" spans="2:10" ht="15.75" customHeight="1" thickBot="1" x14ac:dyDescent="0.3"/>
    <row r="2" spans="2:10" ht="15.75" customHeight="1" x14ac:dyDescent="0.25">
      <c r="B2" s="2"/>
      <c r="C2" s="3"/>
      <c r="D2" s="3"/>
      <c r="E2" s="3"/>
      <c r="F2" s="3"/>
      <c r="G2" s="3"/>
      <c r="H2" s="4"/>
    </row>
    <row r="3" spans="2:10" ht="15.75" customHeight="1" x14ac:dyDescent="0.25">
      <c r="B3" s="5"/>
      <c r="C3" s="232" t="s">
        <v>125</v>
      </c>
      <c r="D3" s="232"/>
      <c r="E3" s="232"/>
      <c r="F3" s="232"/>
      <c r="G3" s="232"/>
      <c r="H3" s="6"/>
      <c r="J3" s="51" t="s">
        <v>111</v>
      </c>
    </row>
    <row r="4" spans="2:10" ht="15.75" customHeight="1" x14ac:dyDescent="0.25">
      <c r="B4" s="5"/>
      <c r="C4" s="1"/>
      <c r="D4" s="1"/>
      <c r="E4" s="1"/>
      <c r="F4" s="1"/>
      <c r="G4" s="1"/>
      <c r="H4" s="6"/>
    </row>
    <row r="5" spans="2:10" ht="15.75" customHeight="1" x14ac:dyDescent="0.25">
      <c r="B5" s="5"/>
      <c r="C5" s="20"/>
      <c r="D5" s="21" t="s">
        <v>25</v>
      </c>
      <c r="E5" s="21" t="s">
        <v>26</v>
      </c>
      <c r="F5" s="21" t="s">
        <v>27</v>
      </c>
      <c r="G5" s="21" t="s">
        <v>28</v>
      </c>
      <c r="H5" s="6"/>
    </row>
    <row r="6" spans="2:10" ht="15.75" customHeight="1" x14ac:dyDescent="0.25">
      <c r="B6" s="5"/>
      <c r="C6" s="27" t="s">
        <v>33</v>
      </c>
      <c r="D6" s="60">
        <v>0.113</v>
      </c>
      <c r="E6" s="60">
        <v>0.108</v>
      </c>
      <c r="F6" s="60">
        <v>0.10299999999999999</v>
      </c>
      <c r="G6" s="60">
        <v>0.14000000000000001</v>
      </c>
      <c r="H6" s="6"/>
    </row>
    <row r="7" spans="2:10" ht="15.75" customHeight="1" thickBot="1" x14ac:dyDescent="0.3">
      <c r="B7" s="14"/>
      <c r="C7" s="15"/>
      <c r="D7" s="15"/>
      <c r="E7" s="15"/>
      <c r="F7" s="15"/>
      <c r="G7" s="15"/>
      <c r="H7" s="16"/>
    </row>
  </sheetData>
  <mergeCells count="1">
    <mergeCell ref="C3:G3"/>
  </mergeCells>
  <hyperlinks>
    <hyperlink ref="J3" location="'Table of Content'!A1" display="Return to TOC" xr:uid="{CCA772EB-28BD-46A3-9EDB-71C2498F2779}"/>
  </hyperlinks>
  <pageMargins left="0.2" right="0.2" top="0.25" bottom="0.25" header="0.3" footer="0.3"/>
  <pageSetup scale="97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F75A-6E76-4541-849F-856B8DBD1378}">
  <sheetPr>
    <tabColor theme="8" tint="0.59999389629810485"/>
    <pageSetUpPr fitToPage="1"/>
  </sheetPr>
  <dimension ref="B1:N21"/>
  <sheetViews>
    <sheetView showGridLines="0" workbookViewId="0">
      <selection activeCell="C3" sqref="C3:K3"/>
    </sheetView>
  </sheetViews>
  <sheetFormatPr defaultColWidth="12.7109375" defaultRowHeight="15.75" customHeight="1" x14ac:dyDescent="0.25"/>
  <cols>
    <col min="1" max="2" width="2.7109375" style="19" customWidth="1"/>
    <col min="3" max="3" width="35.7109375" style="19" customWidth="1"/>
    <col min="4" max="4" width="2.7109375" style="19" customWidth="1"/>
    <col min="5" max="5" width="15.7109375" style="35" customWidth="1"/>
    <col min="6" max="6" width="2.7109375" style="35" customWidth="1"/>
    <col min="7" max="7" width="15.7109375" style="35" customWidth="1"/>
    <col min="8" max="8" width="2.7109375" style="35" customWidth="1"/>
    <col min="9" max="9" width="15.7109375" style="35" customWidth="1"/>
    <col min="10" max="10" width="2.7109375" style="35" customWidth="1"/>
    <col min="11" max="11" width="15.7109375" style="35" customWidth="1"/>
    <col min="12" max="13" width="2.7109375" style="19" customWidth="1"/>
    <col min="14" max="14" width="15.7109375" style="19" customWidth="1"/>
    <col min="15" max="16384" width="12.7109375" style="19"/>
  </cols>
  <sheetData>
    <row r="1" spans="2:14" ht="15.75" customHeight="1" thickBot="1" x14ac:dyDescent="0.3"/>
    <row r="2" spans="2:14" ht="15.75" customHeight="1" x14ac:dyDescent="0.25">
      <c r="B2" s="2"/>
      <c r="C2" s="3"/>
      <c r="D2" s="3"/>
      <c r="E2" s="36"/>
      <c r="F2" s="36"/>
      <c r="G2" s="36"/>
      <c r="H2" s="36"/>
      <c r="I2" s="36"/>
      <c r="J2" s="36"/>
      <c r="K2" s="36"/>
      <c r="L2" s="4"/>
    </row>
    <row r="3" spans="2:14" ht="15.75" customHeight="1" x14ac:dyDescent="0.25">
      <c r="B3" s="5"/>
      <c r="C3" s="232" t="s">
        <v>113</v>
      </c>
      <c r="D3" s="232"/>
      <c r="E3" s="232"/>
      <c r="F3" s="232"/>
      <c r="G3" s="232"/>
      <c r="H3" s="232"/>
      <c r="I3" s="232"/>
      <c r="J3" s="232"/>
      <c r="K3" s="232"/>
      <c r="L3" s="6"/>
      <c r="N3" s="51" t="s">
        <v>111</v>
      </c>
    </row>
    <row r="4" spans="2:14" ht="15.75" customHeight="1" x14ac:dyDescent="0.25">
      <c r="B4" s="5"/>
      <c r="C4" s="1"/>
      <c r="D4" s="1"/>
      <c r="E4" s="26"/>
      <c r="F4" s="26"/>
      <c r="G4" s="26"/>
      <c r="H4" s="26"/>
      <c r="I4" s="26"/>
      <c r="J4" s="26"/>
      <c r="K4" s="26"/>
      <c r="L4" s="6"/>
    </row>
    <row r="5" spans="2:14" s="38" customFormat="1" ht="78.75" x14ac:dyDescent="0.25">
      <c r="B5" s="39"/>
      <c r="C5" s="40"/>
      <c r="D5" s="40"/>
      <c r="E5" s="41" t="s">
        <v>78</v>
      </c>
      <c r="F5" s="41"/>
      <c r="G5" s="41" t="s">
        <v>106</v>
      </c>
      <c r="H5" s="41"/>
      <c r="I5" s="41" t="s">
        <v>107</v>
      </c>
      <c r="J5" s="41"/>
      <c r="K5" s="41" t="s">
        <v>61</v>
      </c>
      <c r="L5" s="42"/>
    </row>
    <row r="6" spans="2:14" ht="15.75" customHeight="1" x14ac:dyDescent="0.25">
      <c r="B6" s="5"/>
      <c r="C6" s="22" t="s">
        <v>79</v>
      </c>
      <c r="D6" s="22"/>
      <c r="L6" s="6"/>
    </row>
    <row r="7" spans="2:14" ht="15.75" customHeight="1" x14ac:dyDescent="0.25">
      <c r="B7" s="5"/>
      <c r="C7" s="33" t="s">
        <v>80</v>
      </c>
      <c r="D7" s="33"/>
      <c r="E7" s="35" t="s">
        <v>94</v>
      </c>
      <c r="G7" s="61">
        <v>122163</v>
      </c>
      <c r="H7" s="61"/>
      <c r="I7" s="61">
        <v>122163</v>
      </c>
      <c r="J7" s="61"/>
      <c r="K7" s="43">
        <v>2028</v>
      </c>
      <c r="L7" s="6"/>
    </row>
    <row r="8" spans="2:14" ht="15.75" customHeight="1" x14ac:dyDescent="0.25">
      <c r="B8" s="5"/>
      <c r="C8" s="33" t="s">
        <v>81</v>
      </c>
      <c r="D8" s="33"/>
      <c r="E8" s="35" t="s">
        <v>95</v>
      </c>
      <c r="G8" s="61">
        <v>97212</v>
      </c>
      <c r="H8" s="61"/>
      <c r="I8" s="61">
        <v>97212</v>
      </c>
      <c r="J8" s="61"/>
      <c r="K8" s="43" t="s">
        <v>96</v>
      </c>
      <c r="L8" s="6"/>
    </row>
    <row r="9" spans="2:14" ht="15.75" customHeight="1" x14ac:dyDescent="0.25">
      <c r="B9" s="5"/>
      <c r="C9" s="33" t="s">
        <v>82</v>
      </c>
      <c r="D9" s="33"/>
      <c r="E9" s="35" t="s">
        <v>94</v>
      </c>
      <c r="G9" s="61">
        <v>25423</v>
      </c>
      <c r="H9" s="61"/>
      <c r="I9" s="61">
        <v>23164</v>
      </c>
      <c r="J9" s="61"/>
      <c r="K9" s="43" t="s">
        <v>97</v>
      </c>
      <c r="L9" s="6"/>
    </row>
    <row r="10" spans="2:14" ht="15.75" customHeight="1" x14ac:dyDescent="0.25">
      <c r="B10" s="5"/>
      <c r="C10" s="33" t="s">
        <v>83</v>
      </c>
      <c r="D10" s="33"/>
      <c r="E10" s="35" t="s">
        <v>94</v>
      </c>
      <c r="G10" s="61">
        <v>27000</v>
      </c>
      <c r="H10" s="61"/>
      <c r="I10" s="61">
        <v>10205</v>
      </c>
      <c r="J10" s="61"/>
      <c r="K10" s="43">
        <v>2023</v>
      </c>
      <c r="L10" s="6"/>
    </row>
    <row r="11" spans="2:14" ht="15.75" customHeight="1" x14ac:dyDescent="0.25">
      <c r="B11" s="5"/>
      <c r="C11" s="33" t="s">
        <v>84</v>
      </c>
      <c r="D11" s="33"/>
      <c r="E11" s="35" t="s">
        <v>98</v>
      </c>
      <c r="G11" s="61">
        <v>47708</v>
      </c>
      <c r="H11" s="61"/>
      <c r="I11" s="61">
        <v>0</v>
      </c>
      <c r="J11" s="61"/>
      <c r="K11" s="43" t="s">
        <v>99</v>
      </c>
      <c r="L11" s="6"/>
    </row>
    <row r="12" spans="2:14" ht="15.75" customHeight="1" x14ac:dyDescent="0.25">
      <c r="B12" s="5"/>
      <c r="C12" s="33" t="s">
        <v>85</v>
      </c>
      <c r="D12" s="33"/>
      <c r="G12" s="61">
        <v>2239</v>
      </c>
      <c r="H12" s="61"/>
      <c r="I12" s="61">
        <v>2239</v>
      </c>
      <c r="J12" s="61"/>
      <c r="K12" s="43">
        <v>2025</v>
      </c>
      <c r="L12" s="6"/>
    </row>
    <row r="13" spans="2:14" ht="15.75" customHeight="1" x14ac:dyDescent="0.25">
      <c r="B13" s="5"/>
      <c r="C13" s="33" t="s">
        <v>86</v>
      </c>
      <c r="D13" s="33"/>
      <c r="E13" s="35" t="s">
        <v>94</v>
      </c>
      <c r="G13" s="61">
        <v>1185</v>
      </c>
      <c r="H13" s="61"/>
      <c r="I13" s="61">
        <v>1185</v>
      </c>
      <c r="J13" s="61"/>
      <c r="K13" s="43">
        <v>2025</v>
      </c>
      <c r="L13" s="6"/>
    </row>
    <row r="14" spans="2:14" ht="15.75" customHeight="1" x14ac:dyDescent="0.25">
      <c r="B14" s="5"/>
      <c r="C14" s="33" t="s">
        <v>87</v>
      </c>
      <c r="D14" s="33"/>
      <c r="E14" s="35" t="s">
        <v>94</v>
      </c>
      <c r="G14" s="61">
        <v>23978</v>
      </c>
      <c r="H14" s="61"/>
      <c r="I14" s="61">
        <v>23978</v>
      </c>
      <c r="J14" s="61"/>
      <c r="K14" s="43" t="s">
        <v>100</v>
      </c>
      <c r="L14" s="6"/>
    </row>
    <row r="15" spans="2:14" ht="15.75" customHeight="1" x14ac:dyDescent="0.25">
      <c r="B15" s="5"/>
      <c r="C15" s="22" t="s">
        <v>88</v>
      </c>
      <c r="D15" s="22"/>
      <c r="G15" s="61"/>
      <c r="H15" s="61"/>
      <c r="I15" s="61"/>
      <c r="J15" s="61"/>
      <c r="K15" s="43"/>
      <c r="L15" s="6"/>
    </row>
    <row r="16" spans="2:14" ht="15.75" customHeight="1" x14ac:dyDescent="0.25">
      <c r="B16" s="5"/>
      <c r="C16" s="33" t="s">
        <v>89</v>
      </c>
      <c r="D16" s="33"/>
      <c r="E16" s="35" t="s">
        <v>98</v>
      </c>
      <c r="G16" s="61">
        <v>34581</v>
      </c>
      <c r="H16" s="61"/>
      <c r="I16" s="61">
        <v>34581</v>
      </c>
      <c r="J16" s="61"/>
      <c r="K16" s="43" t="s">
        <v>101</v>
      </c>
      <c r="L16" s="6"/>
    </row>
    <row r="17" spans="2:12" ht="15.75" customHeight="1" x14ac:dyDescent="0.25">
      <c r="B17" s="5"/>
      <c r="C17" s="33" t="s">
        <v>90</v>
      </c>
      <c r="D17" s="33"/>
      <c r="E17" s="35" t="s">
        <v>94</v>
      </c>
      <c r="G17" s="61">
        <v>28173</v>
      </c>
      <c r="H17" s="61"/>
      <c r="I17" s="61">
        <v>18293</v>
      </c>
      <c r="J17" s="61"/>
      <c r="K17" s="43" t="s">
        <v>102</v>
      </c>
      <c r="L17" s="6"/>
    </row>
    <row r="18" spans="2:12" ht="15.75" customHeight="1" x14ac:dyDescent="0.25">
      <c r="B18" s="5"/>
      <c r="C18" s="33" t="s">
        <v>91</v>
      </c>
      <c r="D18" s="33"/>
      <c r="E18" s="35" t="s">
        <v>94</v>
      </c>
      <c r="G18" s="61">
        <v>3784</v>
      </c>
      <c r="H18" s="61"/>
      <c r="I18" s="61">
        <v>3736</v>
      </c>
      <c r="J18" s="61"/>
      <c r="K18" s="43" t="s">
        <v>103</v>
      </c>
      <c r="L18" s="6"/>
    </row>
    <row r="19" spans="2:12" ht="15.75" customHeight="1" x14ac:dyDescent="0.25">
      <c r="B19" s="5"/>
      <c r="C19" s="33" t="s">
        <v>92</v>
      </c>
      <c r="D19" s="33"/>
      <c r="E19" s="35" t="s">
        <v>94</v>
      </c>
      <c r="G19" s="61">
        <v>3304</v>
      </c>
      <c r="H19" s="61"/>
      <c r="I19" s="61">
        <v>2701</v>
      </c>
      <c r="J19" s="61"/>
      <c r="K19" s="43" t="s">
        <v>104</v>
      </c>
      <c r="L19" s="6"/>
    </row>
    <row r="20" spans="2:12" ht="15.75" customHeight="1" x14ac:dyDescent="0.25">
      <c r="B20" s="5"/>
      <c r="C20" s="34" t="s">
        <v>93</v>
      </c>
      <c r="D20" s="34"/>
      <c r="E20" s="25" t="s">
        <v>94</v>
      </c>
      <c r="F20" s="25"/>
      <c r="G20" s="62">
        <v>1294</v>
      </c>
      <c r="H20" s="62"/>
      <c r="I20" s="62">
        <v>1023</v>
      </c>
      <c r="J20" s="62"/>
      <c r="K20" s="44" t="s">
        <v>105</v>
      </c>
      <c r="L20" s="6"/>
    </row>
    <row r="21" spans="2:12" ht="15.75" customHeight="1" thickBot="1" x14ac:dyDescent="0.3">
      <c r="B21" s="14"/>
      <c r="C21" s="15"/>
      <c r="D21" s="15"/>
      <c r="E21" s="37"/>
      <c r="F21" s="37"/>
      <c r="G21" s="37"/>
      <c r="H21" s="37"/>
      <c r="I21" s="37"/>
      <c r="J21" s="37"/>
      <c r="K21" s="37"/>
      <c r="L21" s="16"/>
    </row>
  </sheetData>
  <mergeCells count="1">
    <mergeCell ref="C3:K3"/>
  </mergeCells>
  <hyperlinks>
    <hyperlink ref="N3" location="'Table of Content'!A1" display="Return to TOC" xr:uid="{1A69BEE1-6809-4FBF-B232-9197F4C48D02}"/>
  </hyperlinks>
  <pageMargins left="0.2" right="0.2" top="0.25" bottom="0.25" header="0.3" footer="0.3"/>
  <pageSetup scale="9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BC7A-C233-4BCE-BE1A-573FCE65838B}">
  <sheetPr>
    <tabColor theme="8" tint="0.59999389629810485"/>
    <pageSetUpPr fitToPage="1"/>
  </sheetPr>
  <dimension ref="B1:G20"/>
  <sheetViews>
    <sheetView showGridLines="0" workbookViewId="0">
      <selection activeCell="C3" sqref="C3:D3"/>
    </sheetView>
  </sheetViews>
  <sheetFormatPr defaultColWidth="12.7109375" defaultRowHeight="15.75" customHeight="1" x14ac:dyDescent="0.25"/>
  <cols>
    <col min="1" max="2" width="2.7109375" style="19" customWidth="1"/>
    <col min="3" max="3" width="40.7109375" style="19" customWidth="1"/>
    <col min="4" max="4" width="20.7109375" style="35" customWidth="1"/>
    <col min="5" max="6" width="2.7109375" style="19" customWidth="1"/>
    <col min="7" max="7" width="15.7109375" style="19" customWidth="1"/>
    <col min="8" max="16384" width="12.7109375" style="19"/>
  </cols>
  <sheetData>
    <row r="1" spans="2:7" ht="15.75" customHeight="1" thickBot="1" x14ac:dyDescent="0.3"/>
    <row r="2" spans="2:7" ht="15.75" customHeight="1" x14ac:dyDescent="0.25">
      <c r="B2" s="2"/>
      <c r="C2" s="3"/>
      <c r="D2" s="36"/>
      <c r="E2" s="4"/>
    </row>
    <row r="3" spans="2:7" ht="15.75" customHeight="1" x14ac:dyDescent="0.25">
      <c r="B3" s="5"/>
      <c r="C3" s="232" t="s">
        <v>161</v>
      </c>
      <c r="D3" s="232"/>
      <c r="E3" s="6"/>
      <c r="G3" s="51" t="s">
        <v>111</v>
      </c>
    </row>
    <row r="4" spans="2:7" ht="15.75" customHeight="1" x14ac:dyDescent="0.25">
      <c r="B4" s="5"/>
      <c r="C4" s="1"/>
      <c r="D4" s="26"/>
      <c r="E4" s="6"/>
    </row>
    <row r="5" spans="2:7" ht="15.75" customHeight="1" x14ac:dyDescent="0.25">
      <c r="B5" s="5"/>
      <c r="C5" s="151" t="s">
        <v>157</v>
      </c>
      <c r="D5" s="152"/>
      <c r="E5" s="6"/>
    </row>
    <row r="6" spans="2:7" ht="15.75" customHeight="1" x14ac:dyDescent="0.25">
      <c r="B6" s="5"/>
      <c r="C6" s="33" t="s">
        <v>154</v>
      </c>
      <c r="D6" s="154" t="s">
        <v>158</v>
      </c>
      <c r="E6" s="6"/>
    </row>
    <row r="7" spans="2:7" ht="15.75" customHeight="1" x14ac:dyDescent="0.25">
      <c r="B7" s="5"/>
      <c r="C7" s="33" t="s">
        <v>59</v>
      </c>
      <c r="D7" s="182">
        <v>42178</v>
      </c>
      <c r="E7" s="6"/>
    </row>
    <row r="8" spans="2:7" ht="15.75" customHeight="1" x14ac:dyDescent="0.25">
      <c r="B8" s="5"/>
      <c r="C8" s="33" t="s">
        <v>61</v>
      </c>
      <c r="D8" s="182">
        <v>45823</v>
      </c>
      <c r="E8" s="6"/>
    </row>
    <row r="9" spans="2:7" ht="15.75" customHeight="1" x14ac:dyDescent="0.25">
      <c r="B9" s="5"/>
      <c r="C9" s="33" t="s">
        <v>62</v>
      </c>
      <c r="D9" s="153">
        <v>750000000</v>
      </c>
      <c r="E9" s="6"/>
    </row>
    <row r="10" spans="2:7" ht="15.75" customHeight="1" x14ac:dyDescent="0.25">
      <c r="B10" s="5"/>
      <c r="C10" s="33" t="s">
        <v>63</v>
      </c>
      <c r="D10" s="153">
        <v>1000</v>
      </c>
      <c r="E10" s="6"/>
    </row>
    <row r="11" spans="2:7" ht="15.75" customHeight="1" x14ac:dyDescent="0.25">
      <c r="B11" s="5"/>
      <c r="C11" s="33" t="s">
        <v>64</v>
      </c>
      <c r="D11" s="155">
        <v>3.5000000000000003E-2</v>
      </c>
      <c r="E11" s="6"/>
    </row>
    <row r="12" spans="2:7" ht="15.75" customHeight="1" x14ac:dyDescent="0.25">
      <c r="B12" s="5"/>
      <c r="C12" s="33" t="s">
        <v>155</v>
      </c>
      <c r="D12" s="154">
        <v>2</v>
      </c>
      <c r="E12" s="6"/>
    </row>
    <row r="13" spans="2:7" ht="15.75" customHeight="1" x14ac:dyDescent="0.25">
      <c r="B13" s="5"/>
      <c r="C13" s="33"/>
      <c r="E13" s="6"/>
    </row>
    <row r="14" spans="2:7" ht="15.75" customHeight="1" x14ac:dyDescent="0.25">
      <c r="B14" s="5"/>
      <c r="C14" s="22" t="s">
        <v>156</v>
      </c>
      <c r="E14" s="6"/>
    </row>
    <row r="15" spans="2:7" ht="15.75" customHeight="1" x14ac:dyDescent="0.25">
      <c r="B15" s="5"/>
      <c r="C15" s="33" t="s">
        <v>61</v>
      </c>
      <c r="D15" s="183">
        <v>45792</v>
      </c>
      <c r="E15" s="6"/>
    </row>
    <row r="16" spans="2:7" ht="15.75" customHeight="1" x14ac:dyDescent="0.25">
      <c r="B16" s="5"/>
      <c r="C16" s="33" t="s">
        <v>64</v>
      </c>
      <c r="D16" s="155">
        <v>2.1250000000000002E-2</v>
      </c>
      <c r="E16" s="6"/>
    </row>
    <row r="17" spans="2:5" ht="15.75" customHeight="1" x14ac:dyDescent="0.25">
      <c r="B17" s="5"/>
      <c r="C17" s="33" t="s">
        <v>60</v>
      </c>
      <c r="D17" s="155">
        <v>2.3609999999999999E-2</v>
      </c>
      <c r="E17" s="6"/>
    </row>
    <row r="18" spans="2:5" ht="15.75" customHeight="1" x14ac:dyDescent="0.25">
      <c r="B18" s="5"/>
      <c r="C18" s="33"/>
      <c r="D18" s="150"/>
      <c r="E18" s="6"/>
    </row>
    <row r="19" spans="2:5" ht="15.75" customHeight="1" x14ac:dyDescent="0.25">
      <c r="B19" s="5"/>
      <c r="C19" s="27" t="s">
        <v>159</v>
      </c>
      <c r="D19" s="156">
        <f>D11-D17</f>
        <v>1.1390000000000004E-2</v>
      </c>
      <c r="E19" s="6"/>
    </row>
    <row r="20" spans="2:5" ht="15.75" customHeight="1" thickBot="1" x14ac:dyDescent="0.3">
      <c r="B20" s="14"/>
      <c r="C20" s="15"/>
      <c r="D20" s="37"/>
      <c r="E20" s="16"/>
    </row>
  </sheetData>
  <mergeCells count="1">
    <mergeCell ref="C3:D3"/>
  </mergeCells>
  <hyperlinks>
    <hyperlink ref="G3" location="'Table of Content'!A1" display="Return to TOC" xr:uid="{0230ED64-8CDE-4BF6-AC3B-0706F48D2714}"/>
  </hyperlinks>
  <pageMargins left="0.2" right="0.2" top="0.25" bottom="0.25" header="0.3" footer="0.3"/>
  <pageSetup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49E1-C839-4CAB-86F5-70459A22E7B0}">
  <sheetPr>
    <tabColor theme="9" tint="0.59999389629810485"/>
    <pageSetUpPr fitToPage="1"/>
  </sheetPr>
  <dimension ref="B1:R40"/>
  <sheetViews>
    <sheetView showGridLines="0" workbookViewId="0">
      <selection activeCell="C3" sqref="C3:O3"/>
    </sheetView>
  </sheetViews>
  <sheetFormatPr defaultColWidth="12.7109375" defaultRowHeight="15.75" customHeight="1" x14ac:dyDescent="0.25"/>
  <cols>
    <col min="1" max="2" width="2.7109375" style="19" customWidth="1"/>
    <col min="3" max="3" width="35.7109375" style="19" customWidth="1"/>
    <col min="4" max="7" width="12.7109375" style="19"/>
    <col min="8" max="8" width="12.7109375" style="19" customWidth="1"/>
    <col min="9" max="9" width="6.7109375" style="19" customWidth="1"/>
    <col min="10" max="10" width="35.7109375" style="19" customWidth="1"/>
    <col min="11" max="15" width="12.7109375" style="19"/>
    <col min="16" max="17" width="2.7109375" style="19" customWidth="1"/>
    <col min="18" max="18" width="15.7109375" style="19" customWidth="1"/>
    <col min="19" max="16384" width="12.7109375" style="19"/>
  </cols>
  <sheetData>
    <row r="1" spans="2:18" ht="15.75" customHeight="1" thickBot="1" x14ac:dyDescent="0.3"/>
    <row r="2" spans="2:18" ht="15.75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8" ht="15.75" customHeight="1" x14ac:dyDescent="0.25">
      <c r="B3" s="5"/>
      <c r="C3" s="232" t="s">
        <v>143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6"/>
      <c r="R3" s="51" t="s">
        <v>111</v>
      </c>
    </row>
    <row r="4" spans="2:18" ht="15.75" customHeight="1" x14ac:dyDescent="0.25"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6"/>
    </row>
    <row r="5" spans="2:18" ht="15.75" customHeight="1" x14ac:dyDescent="0.25">
      <c r="B5" s="5"/>
      <c r="C5" s="237" t="s">
        <v>25</v>
      </c>
      <c r="D5" s="237"/>
      <c r="E5" s="237"/>
      <c r="F5" s="237"/>
      <c r="G5" s="237"/>
      <c r="H5" s="237"/>
      <c r="I5" s="1"/>
      <c r="J5" s="237" t="s">
        <v>27</v>
      </c>
      <c r="K5" s="237"/>
      <c r="L5" s="237"/>
      <c r="M5" s="237"/>
      <c r="N5" s="237"/>
      <c r="O5" s="237"/>
      <c r="P5" s="6"/>
    </row>
    <row r="6" spans="2:18" ht="15.75" customHeight="1" x14ac:dyDescent="0.25"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/>
    </row>
    <row r="7" spans="2:18" ht="15.75" customHeight="1" x14ac:dyDescent="0.25">
      <c r="B7" s="5"/>
      <c r="C7" s="20"/>
      <c r="D7" s="27">
        <v>2022</v>
      </c>
      <c r="E7" s="27">
        <v>2021</v>
      </c>
      <c r="F7" s="27">
        <v>2020</v>
      </c>
      <c r="G7" s="27">
        <v>2019</v>
      </c>
      <c r="H7" s="27">
        <v>2018</v>
      </c>
      <c r="I7" s="1"/>
      <c r="J7" s="20"/>
      <c r="K7" s="27">
        <v>2022</v>
      </c>
      <c r="L7" s="27">
        <v>2021</v>
      </c>
      <c r="M7" s="27">
        <v>2020</v>
      </c>
      <c r="N7" s="27">
        <v>2019</v>
      </c>
      <c r="O7" s="27">
        <v>2018</v>
      </c>
      <c r="P7" s="90"/>
    </row>
    <row r="8" spans="2:18" ht="15.75" customHeight="1" x14ac:dyDescent="0.25"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"/>
    </row>
    <row r="9" spans="2:18" ht="15.75" customHeight="1" x14ac:dyDescent="0.25">
      <c r="B9" s="5"/>
      <c r="C9" s="23" t="s">
        <v>75</v>
      </c>
      <c r="D9" s="79">
        <f>'Exhibit A3'!E14</f>
        <v>0.35846666666666671</v>
      </c>
      <c r="E9" s="79">
        <f>'Exhibit A3'!E21</f>
        <v>0.38455600000000001</v>
      </c>
      <c r="F9" s="79">
        <f>'Exhibit A3'!E28</f>
        <v>0.34920266666666672</v>
      </c>
      <c r="G9" s="79">
        <f>'Exhibit A3'!E35</f>
        <v>0.36589866666666671</v>
      </c>
      <c r="H9" s="145" t="s">
        <v>149</v>
      </c>
      <c r="I9" s="1"/>
      <c r="J9" s="23" t="s">
        <v>75</v>
      </c>
      <c r="K9" s="79">
        <f>'Exhibit A3'!G14</f>
        <v>3.7251347378735913</v>
      </c>
      <c r="L9" s="79">
        <f>'Exhibit A3'!G21</f>
        <v>3.5734843123378157</v>
      </c>
      <c r="M9" s="79">
        <f>'Exhibit A3'!G28</f>
        <v>3.5561067800614223</v>
      </c>
      <c r="N9" s="79">
        <f>'Exhibit A3'!G35</f>
        <v>3.5059045819555976</v>
      </c>
      <c r="O9" s="79">
        <f>'Exhibit A3'!G42</f>
        <v>3.3139013452914798</v>
      </c>
      <c r="P9" s="91"/>
    </row>
    <row r="10" spans="2:18" ht="15.75" customHeight="1" x14ac:dyDescent="0.25">
      <c r="B10" s="5"/>
      <c r="C10" s="23" t="s">
        <v>120</v>
      </c>
      <c r="D10" s="95">
        <f>'Exhibit A2'!D7/Aramco!$D$5</f>
        <v>7.7813333333333334</v>
      </c>
      <c r="E10" s="95">
        <f>'Exhibit A2'!D8/Aramco!$D$5</f>
        <v>7.8906666666666663</v>
      </c>
      <c r="F10" s="95">
        <f>'Exhibit A2'!D9/Aramco!$D$5</f>
        <v>7.714666666666667</v>
      </c>
      <c r="G10" s="95">
        <f>'Exhibit A2'!D10/Aramco!$D$5</f>
        <v>7.0613333333333337</v>
      </c>
      <c r="H10" s="147" t="s">
        <v>149</v>
      </c>
      <c r="I10" s="1"/>
      <c r="J10" s="23" t="s">
        <v>120</v>
      </c>
      <c r="K10" s="95">
        <f>'Exhibit A2'!F7</f>
        <v>110.3</v>
      </c>
      <c r="L10" s="95">
        <f>'Exhibit A2'!F8</f>
        <v>61.19</v>
      </c>
      <c r="M10" s="95">
        <f>'Exhibit A2'!F9</f>
        <v>41.22</v>
      </c>
      <c r="N10" s="95">
        <f>'Exhibit A2'!F10</f>
        <v>69.78</v>
      </c>
      <c r="O10" s="95">
        <f>'Exhibit A2'!F11</f>
        <v>68.19</v>
      </c>
      <c r="P10" s="6"/>
    </row>
    <row r="11" spans="2:18" ht="15.75" customHeight="1" x14ac:dyDescent="0.25">
      <c r="B11" s="5"/>
      <c r="C11" s="27" t="s">
        <v>76</v>
      </c>
      <c r="D11" s="96">
        <f>D9/D10</f>
        <v>4.6067511994516801E-2</v>
      </c>
      <c r="E11" s="96">
        <f>E9/E10</f>
        <v>4.8735552551537685E-2</v>
      </c>
      <c r="F11" s="96">
        <f>F9/F10</f>
        <v>4.5264777048047017E-2</v>
      </c>
      <c r="G11" s="96">
        <f>G9/G10</f>
        <v>5.181722054380665E-2</v>
      </c>
      <c r="H11" s="148" t="s">
        <v>149</v>
      </c>
      <c r="I11" s="1"/>
      <c r="J11" s="27" t="s">
        <v>76</v>
      </c>
      <c r="K11" s="96">
        <f>K9/K10</f>
        <v>3.377275374318759E-2</v>
      </c>
      <c r="L11" s="96">
        <f>L9/L10</f>
        <v>5.8399808993917564E-2</v>
      </c>
      <c r="M11" s="96">
        <f>M9/M10</f>
        <v>8.6271392044187836E-2</v>
      </c>
      <c r="N11" s="96">
        <f>N9/N10</f>
        <v>5.0242255402057859E-2</v>
      </c>
      <c r="O11" s="96">
        <f>O9/O10</f>
        <v>4.8598054631052649E-2</v>
      </c>
      <c r="P11" s="92"/>
    </row>
    <row r="12" spans="2:18" ht="15.75" customHeight="1" x14ac:dyDescent="0.25"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6"/>
    </row>
    <row r="13" spans="2:18" ht="15.75" customHeight="1" x14ac:dyDescent="0.25">
      <c r="B13" s="5"/>
      <c r="C13" s="237" t="s">
        <v>26</v>
      </c>
      <c r="D13" s="237"/>
      <c r="E13" s="237"/>
      <c r="F13" s="237"/>
      <c r="G13" s="237"/>
      <c r="H13" s="237"/>
      <c r="I13" s="1"/>
      <c r="J13" s="237" t="s">
        <v>28</v>
      </c>
      <c r="K13" s="237"/>
      <c r="L13" s="237"/>
      <c r="M13" s="237"/>
      <c r="N13" s="237"/>
      <c r="O13" s="237"/>
      <c r="P13" s="6"/>
    </row>
    <row r="14" spans="2:18" ht="15.75" customHeight="1" x14ac:dyDescent="0.25"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6"/>
    </row>
    <row r="15" spans="2:18" ht="15.75" customHeight="1" x14ac:dyDescent="0.25">
      <c r="B15" s="5"/>
      <c r="C15" s="1"/>
      <c r="D15" s="27">
        <v>2022</v>
      </c>
      <c r="E15" s="27">
        <v>2021</v>
      </c>
      <c r="F15" s="27">
        <v>2020</v>
      </c>
      <c r="G15" s="27">
        <v>2019</v>
      </c>
      <c r="H15" s="27">
        <v>2018</v>
      </c>
      <c r="I15" s="1"/>
      <c r="J15" s="20"/>
      <c r="K15" s="27">
        <v>2022</v>
      </c>
      <c r="L15" s="27">
        <v>2021</v>
      </c>
      <c r="M15" s="27">
        <v>2020</v>
      </c>
      <c r="N15" s="27">
        <v>2019</v>
      </c>
      <c r="O15" s="27">
        <v>2018</v>
      </c>
      <c r="P15" s="90"/>
    </row>
    <row r="16" spans="2:18" ht="15.75" customHeight="1" x14ac:dyDescent="0.25"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6"/>
    </row>
    <row r="17" spans="2:16" ht="15.75" customHeight="1" x14ac:dyDescent="0.25">
      <c r="B17" s="5"/>
      <c r="C17" s="23" t="s">
        <v>75</v>
      </c>
      <c r="D17" s="79">
        <f>'Exhibit A3'!F14</f>
        <v>5.7274151436031335</v>
      </c>
      <c r="E17" s="79">
        <f>'Exhibit A3'!F21</f>
        <v>5.2740932642487044</v>
      </c>
      <c r="F17" s="79">
        <f>'Exhibit A3'!F28</f>
        <v>5.0135064935064939</v>
      </c>
      <c r="G17" s="79">
        <f>'Exhibit A3'!F35</f>
        <v>4.7603613177470772</v>
      </c>
      <c r="H17" s="79">
        <f>'Exhibit A3'!F42</f>
        <v>4.4676826064109303</v>
      </c>
      <c r="I17" s="1"/>
      <c r="J17" s="23" t="s">
        <v>75</v>
      </c>
      <c r="K17" s="79">
        <f>'Exhibit A3'!H14</f>
        <v>0.42666666666666669</v>
      </c>
      <c r="L17" s="79">
        <f>'Exhibit A3'!H21</f>
        <v>4.17558886509636E-2</v>
      </c>
      <c r="M17" s="79">
        <f>'Exhibit A3'!H28</f>
        <v>1.0740343347639485</v>
      </c>
      <c r="N17" s="79">
        <f>'Exhibit A3'!H35</f>
        <v>2.5794183445190155</v>
      </c>
      <c r="O17" s="79">
        <f>'Exhibit A3'!H42</f>
        <v>3.1695594125500666</v>
      </c>
      <c r="P17" s="91"/>
    </row>
    <row r="18" spans="2:16" ht="15.75" customHeight="1" x14ac:dyDescent="0.25">
      <c r="B18" s="5"/>
      <c r="C18" s="23" t="s">
        <v>120</v>
      </c>
      <c r="D18" s="95">
        <f>'Exhibit A2'!E7</f>
        <v>179.49</v>
      </c>
      <c r="E18" s="95">
        <f>'Exhibit A2'!E8</f>
        <v>117.35</v>
      </c>
      <c r="F18" s="95">
        <f>'Exhibit A2'!E9</f>
        <v>84.45</v>
      </c>
      <c r="G18" s="95">
        <f>'Exhibit A2'!E10</f>
        <v>120.51</v>
      </c>
      <c r="H18" s="95">
        <f>'Exhibit A2'!E11</f>
        <v>108.79</v>
      </c>
      <c r="I18" s="1"/>
      <c r="J18" s="23" t="s">
        <v>120</v>
      </c>
      <c r="K18" s="95">
        <f>'Exhibit A2'!G7</f>
        <v>62.99</v>
      </c>
      <c r="L18" s="95">
        <f>'Exhibit A2'!G8</f>
        <v>28.99</v>
      </c>
      <c r="M18" s="95">
        <f>'Exhibit A2'!G9</f>
        <v>17.309999999999999</v>
      </c>
      <c r="N18" s="95">
        <f>'Exhibit A2'!G10</f>
        <v>41.21</v>
      </c>
      <c r="O18" s="95">
        <f>'Exhibit A2'!G11</f>
        <v>61.38</v>
      </c>
      <c r="P18" s="6"/>
    </row>
    <row r="19" spans="2:16" s="1" customFormat="1" ht="15.75" customHeight="1" x14ac:dyDescent="0.25">
      <c r="B19" s="5"/>
      <c r="C19" s="27" t="s">
        <v>76</v>
      </c>
      <c r="D19" s="96">
        <f>D17/D18</f>
        <v>3.1909382938342709E-2</v>
      </c>
      <c r="E19" s="96">
        <f>E17/E18</f>
        <v>4.4943274514262499E-2</v>
      </c>
      <c r="F19" s="96">
        <f>F17/F18</f>
        <v>5.9366565938502001E-2</v>
      </c>
      <c r="G19" s="96">
        <f>G17/G18</f>
        <v>3.95017950190613E-2</v>
      </c>
      <c r="H19" s="96">
        <f>H17/H18</f>
        <v>4.1067033793647671E-2</v>
      </c>
      <c r="J19" s="27" t="s">
        <v>76</v>
      </c>
      <c r="K19" s="96">
        <f>K17/K18</f>
        <v>6.7735619410488439E-3</v>
      </c>
      <c r="L19" s="96">
        <f>L17/L18</f>
        <v>1.4403549034482097E-3</v>
      </c>
      <c r="M19" s="96">
        <f>M17/M18</f>
        <v>6.2047044180470745E-2</v>
      </c>
      <c r="N19" s="96">
        <f>N17/N18</f>
        <v>6.2592049126887053E-2</v>
      </c>
      <c r="O19" s="96">
        <f>O17/O18</f>
        <v>5.1638309099870744E-2</v>
      </c>
      <c r="P19" s="92"/>
    </row>
    <row r="20" spans="2:16" ht="15.75" customHeight="1" thickBot="1" x14ac:dyDescent="0.3">
      <c r="B20" s="14"/>
      <c r="C20" s="15"/>
      <c r="D20" s="93"/>
      <c r="E20" s="93"/>
      <c r="F20" s="93"/>
      <c r="G20" s="93"/>
      <c r="H20" s="93"/>
      <c r="I20" s="15"/>
      <c r="J20" s="15"/>
      <c r="K20" s="93"/>
      <c r="L20" s="93"/>
      <c r="M20" s="93"/>
      <c r="N20" s="93"/>
      <c r="O20" s="93"/>
      <c r="P20" s="94"/>
    </row>
    <row r="21" spans="2:16" ht="15.75" customHeight="1" thickBot="1" x14ac:dyDescent="0.3"/>
    <row r="22" spans="2:16" ht="15.75" customHeight="1" x14ac:dyDescent="0.25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</row>
    <row r="23" spans="2:16" ht="15.75" customHeight="1" x14ac:dyDescent="0.25">
      <c r="B23" s="5"/>
      <c r="C23" s="232" t="s">
        <v>146</v>
      </c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6"/>
    </row>
    <row r="24" spans="2:16" ht="15.75" customHeight="1" x14ac:dyDescent="0.25"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6"/>
    </row>
    <row r="25" spans="2:16" ht="15.75" customHeight="1" x14ac:dyDescent="0.25">
      <c r="B25" s="5"/>
      <c r="C25" s="237" t="s">
        <v>25</v>
      </c>
      <c r="D25" s="237"/>
      <c r="E25" s="237"/>
      <c r="F25" s="237"/>
      <c r="G25" s="237"/>
      <c r="H25" s="237"/>
      <c r="I25" s="1"/>
      <c r="J25" s="237" t="s">
        <v>27</v>
      </c>
      <c r="K25" s="237"/>
      <c r="L25" s="237"/>
      <c r="M25" s="237"/>
      <c r="N25" s="237"/>
      <c r="O25" s="237"/>
      <c r="P25" s="6"/>
    </row>
    <row r="26" spans="2:16" ht="15.75" customHeight="1" x14ac:dyDescent="0.25"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6"/>
    </row>
    <row r="27" spans="2:16" ht="15.75" customHeight="1" x14ac:dyDescent="0.25">
      <c r="B27" s="5"/>
      <c r="C27" s="20"/>
      <c r="D27" s="27">
        <v>2022</v>
      </c>
      <c r="E27" s="27">
        <v>2021</v>
      </c>
      <c r="F27" s="27">
        <v>2020</v>
      </c>
      <c r="G27" s="27">
        <v>2019</v>
      </c>
      <c r="H27" s="27">
        <v>2018</v>
      </c>
      <c r="I27" s="1"/>
      <c r="J27" s="20"/>
      <c r="K27" s="27">
        <v>2022</v>
      </c>
      <c r="L27" s="27">
        <v>2021</v>
      </c>
      <c r="M27" s="27">
        <v>2020</v>
      </c>
      <c r="N27" s="27">
        <v>2019</v>
      </c>
      <c r="O27" s="27">
        <v>2018</v>
      </c>
      <c r="P27" s="90"/>
    </row>
    <row r="28" spans="2:16" ht="15.75" customHeight="1" x14ac:dyDescent="0.25"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6"/>
    </row>
    <row r="29" spans="2:16" ht="15.75" customHeight="1" x14ac:dyDescent="0.25">
      <c r="B29" s="5"/>
      <c r="C29" s="23" t="s">
        <v>75</v>
      </c>
      <c r="D29" s="79">
        <f>D9</f>
        <v>0.35846666666666671</v>
      </c>
      <c r="E29" s="79">
        <f t="shared" ref="E29:G29" si="0">E9</f>
        <v>0.38455600000000001</v>
      </c>
      <c r="F29" s="79">
        <f t="shared" si="0"/>
        <v>0.34920266666666672</v>
      </c>
      <c r="G29" s="79">
        <f t="shared" si="0"/>
        <v>0.36589866666666671</v>
      </c>
      <c r="H29" s="79">
        <f>'Exhibit A3'!E42</f>
        <v>0.29120266666666667</v>
      </c>
      <c r="I29" s="1"/>
      <c r="J29" s="23" t="s">
        <v>75</v>
      </c>
      <c r="K29" s="79">
        <f>K9</f>
        <v>3.7251347378735913</v>
      </c>
      <c r="L29" s="79">
        <f t="shared" ref="L29:O29" si="1">L9</f>
        <v>3.5734843123378157</v>
      </c>
      <c r="M29" s="79">
        <f t="shared" si="1"/>
        <v>3.5561067800614223</v>
      </c>
      <c r="N29" s="79">
        <f t="shared" si="1"/>
        <v>3.5059045819555976</v>
      </c>
      <c r="O29" s="79">
        <f t="shared" si="1"/>
        <v>3.3139013452914798</v>
      </c>
      <c r="P29" s="91"/>
    </row>
    <row r="30" spans="2:16" ht="15.75" customHeight="1" x14ac:dyDescent="0.25">
      <c r="B30" s="5"/>
      <c r="C30" s="23" t="s">
        <v>126</v>
      </c>
      <c r="D30" s="95">
        <f>'Exhibit A3'!E13</f>
        <v>0.73212727272727274</v>
      </c>
      <c r="E30" s="95">
        <f>'Exhibit A3'!E20</f>
        <v>0.54986133333333331</v>
      </c>
      <c r="F30" s="95">
        <f>'Exhibit A3'!E27</f>
        <v>0.24501733333333334</v>
      </c>
      <c r="G30" s="95">
        <f>'Exhibit A3'!E34</f>
        <v>0.44092400000000004</v>
      </c>
      <c r="H30" s="95">
        <f>'Exhibit A3'!E41</f>
        <v>0.55535733333333326</v>
      </c>
      <c r="I30" s="1"/>
      <c r="J30" s="23" t="s">
        <v>126</v>
      </c>
      <c r="K30" s="95">
        <f>'Exhibit A3'!G13</f>
        <v>14.105095541401274</v>
      </c>
      <c r="L30" s="95">
        <f>'Exhibit A3'!G20</f>
        <v>5.5668789808917198</v>
      </c>
      <c r="M30" s="95">
        <f>'Exhibit A3'!G27</f>
        <v>-5.4927947082447437</v>
      </c>
      <c r="N30" s="95">
        <f>'Exhibit A3'!G34</f>
        <v>3.4893717524799244</v>
      </c>
      <c r="O30" s="95">
        <f>'Exhibit A3'!G41</f>
        <v>5.0556997875855556</v>
      </c>
      <c r="P30" s="6"/>
    </row>
    <row r="31" spans="2:16" ht="15.75" customHeight="1" x14ac:dyDescent="0.25">
      <c r="B31" s="5"/>
      <c r="C31" s="27" t="s">
        <v>110</v>
      </c>
      <c r="D31" s="96">
        <f>D29/D30</f>
        <v>0.48962343026961702</v>
      </c>
      <c r="E31" s="96">
        <f>E29/E30</f>
        <v>0.69936905304610131</v>
      </c>
      <c r="F31" s="96">
        <f>F29/F30</f>
        <v>1.4252161751821641</v>
      </c>
      <c r="G31" s="96">
        <f>G29/G30</f>
        <v>0.82984520385977323</v>
      </c>
      <c r="H31" s="96">
        <f>H29/H30</f>
        <v>0.52435188875390748</v>
      </c>
      <c r="I31" s="1"/>
      <c r="J31" s="27" t="s">
        <v>110</v>
      </c>
      <c r="K31" s="96">
        <f>K29/K30</f>
        <v>0.26409851155843478</v>
      </c>
      <c r="L31" s="96">
        <f>L29/L30</f>
        <v>0.64191880667853207</v>
      </c>
      <c r="M31" s="96">
        <f>M29/M30</f>
        <v>-0.64741301449400024</v>
      </c>
      <c r="N31" s="96">
        <f>N29/N30</f>
        <v>1.0047380533369432</v>
      </c>
      <c r="O31" s="96">
        <f>O29/O30</f>
        <v>0.65547826898837591</v>
      </c>
      <c r="P31" s="92"/>
    </row>
    <row r="32" spans="2:16" ht="15.75" customHeight="1" x14ac:dyDescent="0.25"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6"/>
    </row>
    <row r="33" spans="2:16" ht="15.75" customHeight="1" x14ac:dyDescent="0.25">
      <c r="B33" s="5"/>
      <c r="C33" s="237" t="s">
        <v>26</v>
      </c>
      <c r="D33" s="237"/>
      <c r="E33" s="237"/>
      <c r="F33" s="237"/>
      <c r="G33" s="237"/>
      <c r="H33" s="237"/>
      <c r="I33" s="1"/>
      <c r="J33" s="237" t="s">
        <v>28</v>
      </c>
      <c r="K33" s="237"/>
      <c r="L33" s="237"/>
      <c r="M33" s="237"/>
      <c r="N33" s="237"/>
      <c r="O33" s="237"/>
      <c r="P33" s="6"/>
    </row>
    <row r="34" spans="2:16" ht="15.75" customHeight="1" x14ac:dyDescent="0.25"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6"/>
    </row>
    <row r="35" spans="2:16" ht="15.75" customHeight="1" x14ac:dyDescent="0.25">
      <c r="B35" s="5"/>
      <c r="C35" s="20"/>
      <c r="D35" s="27">
        <v>2022</v>
      </c>
      <c r="E35" s="27">
        <v>2021</v>
      </c>
      <c r="F35" s="27">
        <v>2020</v>
      </c>
      <c r="G35" s="27">
        <v>2019</v>
      </c>
      <c r="H35" s="27">
        <v>2018</v>
      </c>
      <c r="I35" s="1"/>
      <c r="J35" s="20"/>
      <c r="K35" s="27">
        <v>2022</v>
      </c>
      <c r="L35" s="27">
        <v>2021</v>
      </c>
      <c r="M35" s="27">
        <v>2020</v>
      </c>
      <c r="N35" s="27">
        <v>2019</v>
      </c>
      <c r="O35" s="27">
        <v>2018</v>
      </c>
      <c r="P35" s="90"/>
    </row>
    <row r="36" spans="2:16" ht="15.75" customHeight="1" x14ac:dyDescent="0.25"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6"/>
    </row>
    <row r="37" spans="2:16" ht="15.75" customHeight="1" x14ac:dyDescent="0.25">
      <c r="B37" s="5"/>
      <c r="C37" s="23" t="s">
        <v>75</v>
      </c>
      <c r="D37" s="79">
        <f>D17</f>
        <v>5.7274151436031335</v>
      </c>
      <c r="E37" s="79">
        <f t="shared" ref="E37:H37" si="2">E17</f>
        <v>5.2740932642487044</v>
      </c>
      <c r="F37" s="79">
        <f t="shared" si="2"/>
        <v>5.0135064935064939</v>
      </c>
      <c r="G37" s="79">
        <f t="shared" si="2"/>
        <v>4.7603613177470772</v>
      </c>
      <c r="H37" s="79">
        <f t="shared" si="2"/>
        <v>4.4676826064109303</v>
      </c>
      <c r="I37" s="1"/>
      <c r="J37" s="23" t="s">
        <v>75</v>
      </c>
      <c r="K37" s="79">
        <f>K17</f>
        <v>0.42666666666666669</v>
      </c>
      <c r="L37" s="79">
        <f t="shared" ref="L37:O37" si="3">L17</f>
        <v>4.17558886509636E-2</v>
      </c>
      <c r="M37" s="79">
        <f t="shared" si="3"/>
        <v>1.0740343347639485</v>
      </c>
      <c r="N37" s="79">
        <f t="shared" si="3"/>
        <v>2.5794183445190155</v>
      </c>
      <c r="O37" s="79">
        <f t="shared" si="3"/>
        <v>3.1695594125500666</v>
      </c>
      <c r="P37" s="91"/>
    </row>
    <row r="38" spans="2:16" ht="15.75" customHeight="1" x14ac:dyDescent="0.25">
      <c r="B38" s="5"/>
      <c r="C38" s="23" t="s">
        <v>126</v>
      </c>
      <c r="D38" s="95">
        <f>'Exhibit A3'!F13</f>
        <v>18.594255874673628</v>
      </c>
      <c r="E38" s="95">
        <f>'Exhibit A3'!F20</f>
        <v>8.1290155440414509</v>
      </c>
      <c r="F38" s="95">
        <f>'Exhibit A3'!F27</f>
        <v>-2.8888311688311687</v>
      </c>
      <c r="G38" s="95">
        <f>'Exhibit A3'!F34</f>
        <v>1.5116896918172158</v>
      </c>
      <c r="H38" s="95">
        <f>'Exhibit A3'!F41</f>
        <v>7.8087230688386757</v>
      </c>
      <c r="I38" s="1"/>
      <c r="J38" s="23" t="s">
        <v>126</v>
      </c>
      <c r="K38" s="95">
        <f>'Exhibit A3'!H13</f>
        <v>14.782222222222222</v>
      </c>
      <c r="L38" s="95">
        <f>'Exhibit A3'!H20</f>
        <v>2.4860813704496789</v>
      </c>
      <c r="M38" s="95">
        <f>'Exhibit A3'!H27</f>
        <v>-15.913090128755364</v>
      </c>
      <c r="N38" s="95">
        <f>'Exhibit A3'!H34</f>
        <v>-0.58389261744966447</v>
      </c>
      <c r="O38" s="95">
        <f>'Exhibit A3'!H41</f>
        <v>5.5153538050734312</v>
      </c>
      <c r="P38" s="6"/>
    </row>
    <row r="39" spans="2:16" ht="15.75" customHeight="1" x14ac:dyDescent="0.25">
      <c r="B39" s="5"/>
      <c r="C39" s="27" t="s">
        <v>110</v>
      </c>
      <c r="D39" s="96">
        <f>D37/D38</f>
        <v>0.30802066951246915</v>
      </c>
      <c r="E39" s="96">
        <f>E37/E38</f>
        <v>0.6487985212569316</v>
      </c>
      <c r="F39" s="96">
        <f>F37/F38</f>
        <v>-1.735479230354253</v>
      </c>
      <c r="G39" s="96">
        <f>G37/G38</f>
        <v>3.149033391915641</v>
      </c>
      <c r="H39" s="96">
        <f>H37/H38</f>
        <v>0.57213997308209963</v>
      </c>
      <c r="I39" s="1"/>
      <c r="J39" s="27" t="s">
        <v>110</v>
      </c>
      <c r="K39" s="96">
        <f>K37/K38</f>
        <v>2.8863499699338546E-2</v>
      </c>
      <c r="L39" s="96">
        <f>L37/L38</f>
        <v>1.6795865633074936E-2</v>
      </c>
      <c r="M39" s="96">
        <f>M37/M38</f>
        <v>-6.7493763063852741E-2</v>
      </c>
      <c r="N39" s="96">
        <f>N37/N38</f>
        <v>-4.4176245210727965</v>
      </c>
      <c r="O39" s="96">
        <f>O37/O38</f>
        <v>0.57467925441781653</v>
      </c>
      <c r="P39" s="92"/>
    </row>
    <row r="40" spans="2:16" ht="15.75" customHeight="1" thickBot="1" x14ac:dyDescent="0.3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6"/>
    </row>
  </sheetData>
  <mergeCells count="10">
    <mergeCell ref="C3:O3"/>
    <mergeCell ref="C23:O23"/>
    <mergeCell ref="C25:H25"/>
    <mergeCell ref="J25:O25"/>
    <mergeCell ref="C33:H33"/>
    <mergeCell ref="J33:O33"/>
    <mergeCell ref="C5:H5"/>
    <mergeCell ref="C13:H13"/>
    <mergeCell ref="J5:O5"/>
    <mergeCell ref="J13:O13"/>
  </mergeCells>
  <hyperlinks>
    <hyperlink ref="R3" location="'Table of Content'!A1" display="Return to TOC" xr:uid="{5563F7D1-09EA-4AED-930B-A07E8F921981}"/>
  </hyperlinks>
  <pageMargins left="0.2" right="0.2" top="0.25" bottom="0.25" header="0.3" footer="0.3"/>
  <pageSetup scale="58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602E-EBA3-4E85-8F73-FF0796550AFE}">
  <sheetPr>
    <tabColor theme="9" tint="0.59999389629810485"/>
    <pageSetUpPr fitToPage="1"/>
  </sheetPr>
  <dimension ref="B1:R22"/>
  <sheetViews>
    <sheetView showGridLines="0" workbookViewId="0">
      <selection activeCell="C3" sqref="C3:O3"/>
    </sheetView>
  </sheetViews>
  <sheetFormatPr defaultColWidth="12.7109375" defaultRowHeight="15.75" customHeight="1" x14ac:dyDescent="0.25"/>
  <cols>
    <col min="1" max="2" width="2.7109375" style="19" customWidth="1"/>
    <col min="3" max="3" width="35.7109375" style="19" customWidth="1"/>
    <col min="4" max="8" width="12.7109375" style="19"/>
    <col min="9" max="9" width="6.7109375" style="19" customWidth="1"/>
    <col min="10" max="10" width="35.7109375" style="19" customWidth="1"/>
    <col min="11" max="15" width="12.7109375" style="19"/>
    <col min="16" max="17" width="2.7109375" style="19" customWidth="1"/>
    <col min="18" max="18" width="15.7109375" style="19" customWidth="1"/>
    <col min="19" max="16384" width="12.7109375" style="19"/>
  </cols>
  <sheetData>
    <row r="1" spans="2:18" ht="15.75" customHeight="1" thickBot="1" x14ac:dyDescent="0.3"/>
    <row r="2" spans="2:18" ht="15.75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8" ht="15.75" customHeight="1" x14ac:dyDescent="0.25">
      <c r="B3" s="5"/>
      <c r="C3" s="232" t="s">
        <v>145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6"/>
      <c r="R3" s="51" t="s">
        <v>111</v>
      </c>
    </row>
    <row r="4" spans="2:18" ht="15.75" customHeight="1" x14ac:dyDescent="0.25"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6"/>
    </row>
    <row r="5" spans="2:18" ht="15.75" customHeight="1" x14ac:dyDescent="0.25">
      <c r="B5" s="5"/>
      <c r="C5" s="237" t="s">
        <v>25</v>
      </c>
      <c r="D5" s="237"/>
      <c r="E5" s="237"/>
      <c r="F5" s="237"/>
      <c r="G5" s="237"/>
      <c r="H5" s="237"/>
      <c r="I5" s="1"/>
      <c r="J5" s="237" t="s">
        <v>27</v>
      </c>
      <c r="K5" s="237"/>
      <c r="L5" s="237"/>
      <c r="M5" s="237"/>
      <c r="N5" s="237"/>
      <c r="O5" s="237"/>
      <c r="P5" s="6"/>
    </row>
    <row r="6" spans="2:18" ht="15.75" customHeight="1" x14ac:dyDescent="0.25"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/>
    </row>
    <row r="7" spans="2:18" ht="15.75" customHeight="1" x14ac:dyDescent="0.25">
      <c r="B7" s="5"/>
      <c r="C7" s="20"/>
      <c r="D7" s="27">
        <v>2022</v>
      </c>
      <c r="E7" s="27">
        <v>2021</v>
      </c>
      <c r="F7" s="27">
        <v>2020</v>
      </c>
      <c r="G7" s="27">
        <v>2019</v>
      </c>
      <c r="H7" s="21" t="s">
        <v>77</v>
      </c>
      <c r="I7" s="1"/>
      <c r="J7" s="20"/>
      <c r="K7" s="27">
        <v>2022</v>
      </c>
      <c r="L7" s="27">
        <v>2021</v>
      </c>
      <c r="M7" s="27">
        <v>2020</v>
      </c>
      <c r="N7" s="27">
        <v>2019</v>
      </c>
      <c r="O7" s="21" t="s">
        <v>77</v>
      </c>
      <c r="P7" s="90"/>
    </row>
    <row r="8" spans="2:18" ht="15.75" customHeight="1" x14ac:dyDescent="0.25"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"/>
    </row>
    <row r="9" spans="2:18" ht="15.75" customHeight="1" x14ac:dyDescent="0.25">
      <c r="B9" s="5"/>
      <c r="C9" s="23" t="s">
        <v>75</v>
      </c>
      <c r="D9" s="79">
        <f>'Exhibit A3'!E14</f>
        <v>0.35846666666666671</v>
      </c>
      <c r="E9" s="79">
        <f>'Exhibit A3'!E21</f>
        <v>0.38455600000000001</v>
      </c>
      <c r="F9" s="79">
        <f>'Exhibit A3'!E28</f>
        <v>0.34920266666666672</v>
      </c>
      <c r="G9" s="145" t="s">
        <v>149</v>
      </c>
      <c r="H9" s="110"/>
      <c r="I9" s="1"/>
      <c r="J9" s="23" t="s">
        <v>75</v>
      </c>
      <c r="K9" s="79">
        <f>'Exhibit A3'!G14</f>
        <v>3.7251347378735913</v>
      </c>
      <c r="L9" s="79">
        <f>'Exhibit A3'!G21</f>
        <v>3.5734843123378157</v>
      </c>
      <c r="M9" s="79">
        <f>'Exhibit A3'!G28</f>
        <v>3.5561067800614223</v>
      </c>
      <c r="N9" s="79">
        <f>'Exhibit A3'!G35</f>
        <v>3.5059045819555976</v>
      </c>
      <c r="O9" s="110"/>
      <c r="P9" s="91"/>
    </row>
    <row r="10" spans="2:18" ht="15.75" customHeight="1" x14ac:dyDescent="0.25">
      <c r="B10" s="5"/>
      <c r="C10" s="23" t="s">
        <v>119</v>
      </c>
      <c r="D10" s="79">
        <f>E11</f>
        <v>7.8906666666666663</v>
      </c>
      <c r="E10" s="79">
        <f>F11</f>
        <v>7.714666666666667</v>
      </c>
      <c r="F10" s="79">
        <f>'Exhibit A2'!D10/Aramco!D5</f>
        <v>7.0613333333333337</v>
      </c>
      <c r="G10" s="145" t="s">
        <v>149</v>
      </c>
      <c r="H10" s="110"/>
      <c r="I10" s="1"/>
      <c r="J10" s="23" t="s">
        <v>119</v>
      </c>
      <c r="K10" s="79">
        <f t="shared" ref="K10:L10" si="0">L11</f>
        <v>61.19</v>
      </c>
      <c r="L10" s="79">
        <f t="shared" si="0"/>
        <v>41.22</v>
      </c>
      <c r="M10" s="79">
        <f>N11</f>
        <v>69.78</v>
      </c>
      <c r="N10" s="79">
        <f>'Exhibit A2'!F11</f>
        <v>68.19</v>
      </c>
      <c r="O10" s="110"/>
      <c r="P10" s="91"/>
    </row>
    <row r="11" spans="2:18" ht="15.75" customHeight="1" x14ac:dyDescent="0.25">
      <c r="B11" s="5"/>
      <c r="C11" s="23" t="s">
        <v>120</v>
      </c>
      <c r="D11" s="95">
        <f>'Exhibit A2'!D7/Aramco!D5</f>
        <v>7.7813333333333334</v>
      </c>
      <c r="E11" s="95">
        <f>'Exhibit A2'!D8/Aramco!D5</f>
        <v>7.8906666666666663</v>
      </c>
      <c r="F11" s="95">
        <f>'Exhibit A2'!D9/Aramco!D5</f>
        <v>7.714666666666667</v>
      </c>
      <c r="G11" s="147" t="s">
        <v>149</v>
      </c>
      <c r="H11" s="110"/>
      <c r="I11" s="1"/>
      <c r="J11" s="23" t="s">
        <v>120</v>
      </c>
      <c r="K11" s="95">
        <f>'Exhibit A2'!F7</f>
        <v>110.3</v>
      </c>
      <c r="L11" s="95">
        <f>'Exhibit A2'!F8</f>
        <v>61.19</v>
      </c>
      <c r="M11" s="95">
        <f>'Exhibit A2'!F9</f>
        <v>41.22</v>
      </c>
      <c r="N11" s="95">
        <f>'Exhibit A2'!F10</f>
        <v>69.78</v>
      </c>
      <c r="O11" s="110"/>
      <c r="P11" s="6"/>
    </row>
    <row r="12" spans="2:18" ht="15.75" customHeight="1" x14ac:dyDescent="0.25">
      <c r="B12" s="5"/>
      <c r="C12" s="27" t="s">
        <v>121</v>
      </c>
      <c r="D12" s="96">
        <f>(D11-D10+D9)/D10</f>
        <v>3.1573166610341402E-2</v>
      </c>
      <c r="E12" s="96">
        <f t="shared" ref="E12:F12" si="1">(E11-E10+E9)/E10</f>
        <v>7.2661078465260875E-2</v>
      </c>
      <c r="F12" s="96">
        <f t="shared" si="1"/>
        <v>0.14197545317220545</v>
      </c>
      <c r="G12" s="146" t="s">
        <v>149</v>
      </c>
      <c r="H12" s="142">
        <f>AVERAGE(D12:F12)</f>
        <v>8.2069899415935912E-2</v>
      </c>
      <c r="I12" s="1"/>
      <c r="J12" s="27" t="s">
        <v>121</v>
      </c>
      <c r="K12" s="96">
        <f>(K11-K10+K9)/K10</f>
        <v>0.86346028334488623</v>
      </c>
      <c r="L12" s="96">
        <f t="shared" ref="L12:N12" si="2">(L11-L10+L9)/L10</f>
        <v>0.57116652868359574</v>
      </c>
      <c r="M12" s="96">
        <f t="shared" si="2"/>
        <v>-0.35832463771766376</v>
      </c>
      <c r="N12" s="96">
        <f t="shared" si="2"/>
        <v>7.4730966152743827E-2</v>
      </c>
      <c r="O12" s="142">
        <f>AVERAGE(K12:N12)</f>
        <v>0.28775828511589052</v>
      </c>
      <c r="P12" s="92"/>
    </row>
    <row r="13" spans="2:18" ht="15.75" customHeight="1" x14ac:dyDescent="0.25"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6"/>
    </row>
    <row r="14" spans="2:18" ht="15.75" customHeight="1" x14ac:dyDescent="0.25">
      <c r="B14" s="5"/>
      <c r="C14" s="237" t="s">
        <v>26</v>
      </c>
      <c r="D14" s="237"/>
      <c r="E14" s="237"/>
      <c r="F14" s="237"/>
      <c r="G14" s="237"/>
      <c r="H14" s="237"/>
      <c r="I14" s="1"/>
      <c r="J14" s="237" t="s">
        <v>28</v>
      </c>
      <c r="K14" s="237"/>
      <c r="L14" s="237"/>
      <c r="M14" s="237"/>
      <c r="N14" s="237"/>
      <c r="O14" s="237"/>
      <c r="P14" s="6"/>
    </row>
    <row r="15" spans="2:18" ht="15.75" customHeight="1" x14ac:dyDescent="0.25"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6"/>
    </row>
    <row r="16" spans="2:18" ht="15.75" customHeight="1" x14ac:dyDescent="0.25">
      <c r="B16" s="5"/>
      <c r="C16" s="20"/>
      <c r="D16" s="27">
        <v>2022</v>
      </c>
      <c r="E16" s="27">
        <v>2021</v>
      </c>
      <c r="F16" s="27">
        <v>2020</v>
      </c>
      <c r="G16" s="27">
        <v>2019</v>
      </c>
      <c r="H16" s="21" t="s">
        <v>77</v>
      </c>
      <c r="I16" s="1"/>
      <c r="J16" s="20"/>
      <c r="K16" s="27">
        <v>2022</v>
      </c>
      <c r="L16" s="27">
        <v>2021</v>
      </c>
      <c r="M16" s="27">
        <v>2020</v>
      </c>
      <c r="N16" s="27">
        <v>2019</v>
      </c>
      <c r="O16" s="21" t="s">
        <v>77</v>
      </c>
      <c r="P16" s="90"/>
    </row>
    <row r="17" spans="2:16" ht="15.75" customHeight="1" x14ac:dyDescent="0.25"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6"/>
    </row>
    <row r="18" spans="2:16" ht="15.75" customHeight="1" x14ac:dyDescent="0.25">
      <c r="B18" s="5"/>
      <c r="C18" s="23" t="s">
        <v>75</v>
      </c>
      <c r="D18" s="79">
        <f>'Exhibit A3'!F14</f>
        <v>5.7274151436031335</v>
      </c>
      <c r="E18" s="79">
        <f>'Exhibit A3'!F21</f>
        <v>5.2740932642487044</v>
      </c>
      <c r="F18" s="79">
        <f>'Exhibit A3'!F28</f>
        <v>5.0135064935064939</v>
      </c>
      <c r="G18" s="79">
        <f>'Exhibit A3'!F35</f>
        <v>4.7603613177470772</v>
      </c>
      <c r="H18" s="110"/>
      <c r="I18" s="1"/>
      <c r="J18" s="23" t="s">
        <v>75</v>
      </c>
      <c r="K18" s="79">
        <f>'Exhibit A3'!H14</f>
        <v>0.42666666666666669</v>
      </c>
      <c r="L18" s="79">
        <f>'Exhibit A3'!H21</f>
        <v>4.17558886509636E-2</v>
      </c>
      <c r="M18" s="79">
        <f>'Exhibit A3'!H28</f>
        <v>1.0740343347639485</v>
      </c>
      <c r="N18" s="79">
        <f>'Exhibit A3'!H35</f>
        <v>2.5794183445190155</v>
      </c>
      <c r="O18" s="110"/>
      <c r="P18" s="91"/>
    </row>
    <row r="19" spans="2:16" ht="15.75" customHeight="1" x14ac:dyDescent="0.25">
      <c r="B19" s="5"/>
      <c r="C19" s="23" t="s">
        <v>119</v>
      </c>
      <c r="D19" s="79">
        <f>E20</f>
        <v>117.35</v>
      </c>
      <c r="E19" s="79">
        <f>F20</f>
        <v>84.45</v>
      </c>
      <c r="F19" s="79">
        <f>G20</f>
        <v>120.51</v>
      </c>
      <c r="G19" s="79">
        <f>'Exhibit A2'!E11</f>
        <v>108.79</v>
      </c>
      <c r="H19" s="110"/>
      <c r="I19" s="1"/>
      <c r="J19" s="23" t="s">
        <v>119</v>
      </c>
      <c r="K19" s="79">
        <f t="shared" ref="K19:L19" si="3">L20</f>
        <v>28.99</v>
      </c>
      <c r="L19" s="79">
        <f t="shared" si="3"/>
        <v>17.309999999999999</v>
      </c>
      <c r="M19" s="79">
        <f>N20</f>
        <v>41.21</v>
      </c>
      <c r="N19" s="79">
        <f>'Exhibit A2'!G11</f>
        <v>61.38</v>
      </c>
      <c r="O19" s="110"/>
      <c r="P19" s="91"/>
    </row>
    <row r="20" spans="2:16" ht="15.75" customHeight="1" x14ac:dyDescent="0.25">
      <c r="B20" s="5"/>
      <c r="C20" s="23" t="s">
        <v>120</v>
      </c>
      <c r="D20" s="95">
        <f>'Exhibit A2'!E7</f>
        <v>179.49</v>
      </c>
      <c r="E20" s="95">
        <f>'Exhibit A2'!E8</f>
        <v>117.35</v>
      </c>
      <c r="F20" s="95">
        <f>'Exhibit A2'!E9</f>
        <v>84.45</v>
      </c>
      <c r="G20" s="95">
        <f>'Exhibit A2'!E10</f>
        <v>120.51</v>
      </c>
      <c r="H20" s="110"/>
      <c r="I20" s="1"/>
      <c r="J20" s="23" t="s">
        <v>120</v>
      </c>
      <c r="K20" s="95">
        <f>'Exhibit A2'!G7</f>
        <v>62.99</v>
      </c>
      <c r="L20" s="95">
        <f>'Exhibit A2'!G8</f>
        <v>28.99</v>
      </c>
      <c r="M20" s="95">
        <f>'Exhibit A2'!G9</f>
        <v>17.309999999999999</v>
      </c>
      <c r="N20" s="95">
        <f>'Exhibit A2'!G10</f>
        <v>41.21</v>
      </c>
      <c r="O20" s="110"/>
      <c r="P20" s="6"/>
    </row>
    <row r="21" spans="2:16" s="1" customFormat="1" ht="15.75" customHeight="1" x14ac:dyDescent="0.25">
      <c r="B21" s="5"/>
      <c r="C21" s="27" t="s">
        <v>121</v>
      </c>
      <c r="D21" s="96">
        <f>(D20-D19+D18)/D19</f>
        <v>0.57833332035452201</v>
      </c>
      <c r="E21" s="96">
        <f t="shared" ref="E21:G21" si="4">(E20-E19+E18)/E19</f>
        <v>0.45203189182058845</v>
      </c>
      <c r="F21" s="96">
        <f t="shared" si="4"/>
        <v>-0.25762586927635472</v>
      </c>
      <c r="G21" s="96">
        <f t="shared" si="4"/>
        <v>0.15148783268450294</v>
      </c>
      <c r="H21" s="142">
        <f>AVERAGE(D21:G21)</f>
        <v>0.23105679389581471</v>
      </c>
      <c r="J21" s="27" t="s">
        <v>121</v>
      </c>
      <c r="K21" s="96">
        <f>(K20-K19+K18)/K19</f>
        <v>1.187535931930551</v>
      </c>
      <c r="L21" s="96">
        <f t="shared" ref="L21:N21" si="5">(L20-L19+L18)/L19</f>
        <v>0.67716671800409955</v>
      </c>
      <c r="M21" s="96">
        <f t="shared" si="5"/>
        <v>-0.5538938525900523</v>
      </c>
      <c r="N21" s="96">
        <f t="shared" si="5"/>
        <v>-0.28658490803976838</v>
      </c>
      <c r="O21" s="142">
        <f>AVERAGE(K21:N21)</f>
        <v>0.25605597232620741</v>
      </c>
      <c r="P21" s="92"/>
    </row>
    <row r="22" spans="2:16" ht="15.75" customHeight="1" thickBot="1" x14ac:dyDescent="0.3"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/>
    </row>
  </sheetData>
  <mergeCells count="5">
    <mergeCell ref="C5:H5"/>
    <mergeCell ref="J5:O5"/>
    <mergeCell ref="C14:H14"/>
    <mergeCell ref="J14:O14"/>
    <mergeCell ref="C3:O3"/>
  </mergeCells>
  <hyperlinks>
    <hyperlink ref="R3" location="'Table of Content'!A1" display="Return to TOC" xr:uid="{76039E98-C5F2-455C-9E2C-78BC2A2D559E}"/>
  </hyperlinks>
  <pageMargins left="0.2" right="0.2" top="0.25" bottom="0.25" header="0.3" footer="0.3"/>
  <pageSetup scale="58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4488-AF4C-4A2D-A6C7-F1FA10D59548}">
  <sheetPr>
    <tabColor theme="9" tint="0.59999389629810485"/>
    <pageSetUpPr fitToPage="1"/>
  </sheetPr>
  <dimension ref="B1:J14"/>
  <sheetViews>
    <sheetView showGridLines="0" workbookViewId="0">
      <selection activeCell="C3" sqref="C3:G3"/>
    </sheetView>
  </sheetViews>
  <sheetFormatPr defaultColWidth="12.7109375" defaultRowHeight="15.75" customHeight="1" x14ac:dyDescent="0.25"/>
  <cols>
    <col min="1" max="2" width="2.7109375" style="19" customWidth="1"/>
    <col min="3" max="3" width="44.7109375" style="19" customWidth="1"/>
    <col min="4" max="7" width="15.7109375" style="19" customWidth="1"/>
    <col min="8" max="9" width="2.7109375" style="19" customWidth="1"/>
    <col min="10" max="10" width="15.7109375" style="19" customWidth="1"/>
    <col min="11" max="16384" width="12.7109375" style="19"/>
  </cols>
  <sheetData>
    <row r="1" spans="2:10" ht="15.75" customHeight="1" thickBot="1" x14ac:dyDescent="0.3"/>
    <row r="2" spans="2:10" ht="15.75" customHeight="1" x14ac:dyDescent="0.25">
      <c r="B2" s="2"/>
      <c r="C2" s="3"/>
      <c r="D2" s="3"/>
      <c r="E2" s="3"/>
      <c r="F2" s="3"/>
      <c r="G2" s="3"/>
      <c r="H2" s="4"/>
    </row>
    <row r="3" spans="2:10" ht="15.75" customHeight="1" x14ac:dyDescent="0.25">
      <c r="B3" s="5"/>
      <c r="C3" s="232" t="s">
        <v>148</v>
      </c>
      <c r="D3" s="232"/>
      <c r="E3" s="232"/>
      <c r="F3" s="232"/>
      <c r="G3" s="232"/>
      <c r="H3" s="6"/>
      <c r="J3" s="51" t="s">
        <v>111</v>
      </c>
    </row>
    <row r="4" spans="2:10" ht="15.75" customHeight="1" x14ac:dyDescent="0.25">
      <c r="B4" s="5"/>
      <c r="C4" s="68"/>
      <c r="D4" s="68"/>
      <c r="E4" s="68"/>
      <c r="F4" s="68"/>
      <c r="G4" s="68"/>
      <c r="H4" s="6"/>
    </row>
    <row r="5" spans="2:10" ht="15.75" customHeight="1" x14ac:dyDescent="0.25">
      <c r="B5" s="5"/>
      <c r="C5" s="20"/>
      <c r="D5" s="72" t="s">
        <v>25</v>
      </c>
      <c r="E5" s="72" t="s">
        <v>26</v>
      </c>
      <c r="F5" s="72" t="s">
        <v>27</v>
      </c>
      <c r="G5" s="72" t="s">
        <v>28</v>
      </c>
      <c r="H5" s="6"/>
    </row>
    <row r="6" spans="2:10" ht="15.75" customHeight="1" x14ac:dyDescent="0.25">
      <c r="B6" s="5"/>
      <c r="C6" s="68"/>
      <c r="D6" s="69"/>
      <c r="E6" s="69"/>
      <c r="F6" s="69"/>
      <c r="G6" s="69"/>
      <c r="H6" s="6"/>
    </row>
    <row r="7" spans="2:10" ht="15.75" customHeight="1" x14ac:dyDescent="0.25">
      <c r="B7" s="5"/>
      <c r="C7" s="74" t="s">
        <v>131</v>
      </c>
      <c r="D7" s="107">
        <f>Aramco!K27</f>
        <v>444305.86666666664</v>
      </c>
      <c r="E7" s="107">
        <f>Chevron!D25</f>
        <v>160242</v>
      </c>
      <c r="F7" s="107">
        <f>Exxon!D24</f>
        <v>202473</v>
      </c>
      <c r="G7" s="107">
        <f>Oxy!D26</f>
        <v>30085</v>
      </c>
      <c r="H7" s="6"/>
    </row>
    <row r="8" spans="2:10" ht="15.75" customHeight="1" x14ac:dyDescent="0.25">
      <c r="B8" s="5"/>
      <c r="C8" s="68"/>
      <c r="D8" s="67"/>
      <c r="E8" s="67"/>
      <c r="F8" s="67"/>
      <c r="G8" s="67"/>
      <c r="H8" s="6"/>
    </row>
    <row r="9" spans="2:10" ht="15.75" customHeight="1" x14ac:dyDescent="0.25">
      <c r="B9" s="5"/>
      <c r="C9" s="70" t="s">
        <v>32</v>
      </c>
      <c r="D9" s="79">
        <f>'Exhibit A2'!D6/Aramco!D5</f>
        <v>7.8293333333333335</v>
      </c>
      <c r="E9" s="79">
        <f>'Exhibit A2'!E6</f>
        <v>163.16</v>
      </c>
      <c r="F9" s="79">
        <f>'Exhibit A2'!F6</f>
        <v>109.66</v>
      </c>
      <c r="G9" s="79">
        <f>'Exhibit A2'!G6</f>
        <v>62.43</v>
      </c>
      <c r="H9" s="6"/>
    </row>
    <row r="10" spans="2:10" ht="15.75" customHeight="1" x14ac:dyDescent="0.25">
      <c r="B10" s="5"/>
      <c r="C10" s="70" t="s">
        <v>23</v>
      </c>
      <c r="D10" s="85">
        <f>Aramco!D38</f>
        <v>220000</v>
      </c>
      <c r="E10" s="85">
        <f>Chevron!D36</f>
        <v>1915</v>
      </c>
      <c r="F10" s="85">
        <f>Exxon!D35</f>
        <v>4082</v>
      </c>
      <c r="G10" s="108">
        <f>Oxy!D39</f>
        <v>900</v>
      </c>
      <c r="H10" s="6"/>
    </row>
    <row r="11" spans="2:10" ht="15.75" customHeight="1" x14ac:dyDescent="0.25">
      <c r="B11" s="5"/>
      <c r="C11" s="74" t="s">
        <v>132</v>
      </c>
      <c r="D11" s="107">
        <f>D9*D10</f>
        <v>1722453.3333333333</v>
      </c>
      <c r="E11" s="107">
        <f>E9*E10</f>
        <v>312451.39999999997</v>
      </c>
      <c r="F11" s="107">
        <f>F9*F10</f>
        <v>447632.12</v>
      </c>
      <c r="G11" s="107">
        <f>G9*G10</f>
        <v>56187</v>
      </c>
      <c r="H11" s="6"/>
    </row>
    <row r="12" spans="2:10" ht="15.75" customHeight="1" x14ac:dyDescent="0.25">
      <c r="B12" s="5"/>
      <c r="C12" s="68"/>
      <c r="D12" s="73"/>
      <c r="E12" s="73"/>
      <c r="F12" s="73"/>
      <c r="G12" s="73"/>
      <c r="H12" s="6"/>
    </row>
    <row r="13" spans="2:10" ht="15.75" customHeight="1" x14ac:dyDescent="0.25">
      <c r="B13" s="5"/>
      <c r="C13" s="71" t="s">
        <v>41</v>
      </c>
      <c r="D13" s="82">
        <f>D11/D7</f>
        <v>3.8767287640286243</v>
      </c>
      <c r="E13" s="82">
        <f>E11/E7</f>
        <v>1.949872068496399</v>
      </c>
      <c r="F13" s="82">
        <f>F11/F7</f>
        <v>2.2108237641562085</v>
      </c>
      <c r="G13" s="82">
        <f>G11/G7</f>
        <v>1.8676084427455542</v>
      </c>
      <c r="H13" s="6"/>
    </row>
    <row r="14" spans="2:10" ht="15.75" customHeight="1" thickBot="1" x14ac:dyDescent="0.3">
      <c r="B14" s="14"/>
      <c r="C14" s="15"/>
      <c r="D14" s="15"/>
      <c r="E14" s="15"/>
      <c r="F14" s="15"/>
      <c r="G14" s="15"/>
      <c r="H14" s="16"/>
    </row>
  </sheetData>
  <mergeCells count="1">
    <mergeCell ref="C3:G3"/>
  </mergeCells>
  <hyperlinks>
    <hyperlink ref="J3" location="'Table of Content'!A1" display="Return to TOC" xr:uid="{93A4DCC6-C663-4970-8CA0-2D431D13C3BA}"/>
  </hyperlinks>
  <pageMargins left="0.2" right="0.2" top="0.25" bottom="0.25" header="0.3" footer="0.3"/>
  <pageSetup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AC12-DF04-41B5-96A2-253225AC59B3}">
  <sheetPr>
    <tabColor theme="9" tint="0.59999389629810485"/>
    <pageSetUpPr fitToPage="1"/>
  </sheetPr>
  <dimension ref="B1:W32"/>
  <sheetViews>
    <sheetView showGridLines="0" workbookViewId="0">
      <selection activeCell="C3" sqref="C3:I3"/>
    </sheetView>
  </sheetViews>
  <sheetFormatPr defaultColWidth="12.7109375" defaultRowHeight="15.75" customHeight="1" x14ac:dyDescent="0.25"/>
  <cols>
    <col min="1" max="3" width="2.7109375" style="19" customWidth="1"/>
    <col min="4" max="4" width="48.7109375" style="19" customWidth="1"/>
    <col min="5" max="8" width="15.7109375" style="19" customWidth="1"/>
    <col min="9" max="9" width="2.7109375" style="112" customWidth="1"/>
    <col min="10" max="14" width="2.7109375" style="19" customWidth="1"/>
    <col min="15" max="15" width="36.7109375" style="19" customWidth="1"/>
    <col min="16" max="19" width="15.7109375" style="19" customWidth="1"/>
    <col min="20" max="22" width="2.7109375" style="19" customWidth="1"/>
    <col min="23" max="23" width="15.7109375" style="19" customWidth="1"/>
    <col min="24" max="16384" width="12.7109375" style="19"/>
  </cols>
  <sheetData>
    <row r="1" spans="2:23" ht="15.75" customHeight="1" thickBot="1" x14ac:dyDescent="0.3"/>
    <row r="2" spans="2:23" ht="15.75" customHeight="1" x14ac:dyDescent="0.25">
      <c r="B2" s="2"/>
      <c r="C2" s="3"/>
      <c r="D2" s="3"/>
      <c r="E2" s="3"/>
      <c r="F2" s="3"/>
      <c r="G2" s="3"/>
      <c r="H2" s="3"/>
      <c r="I2" s="113"/>
      <c r="J2" s="4"/>
      <c r="M2" s="157"/>
      <c r="N2" s="158"/>
      <c r="O2" s="158"/>
      <c r="P2" s="158"/>
      <c r="Q2" s="158"/>
      <c r="R2" s="158"/>
      <c r="S2" s="158"/>
      <c r="T2" s="158"/>
      <c r="U2" s="159"/>
    </row>
    <row r="3" spans="2:23" ht="15.75" customHeight="1" x14ac:dyDescent="0.25">
      <c r="B3" s="5"/>
      <c r="C3" s="232" t="s">
        <v>171</v>
      </c>
      <c r="D3" s="232"/>
      <c r="E3" s="232"/>
      <c r="F3" s="232"/>
      <c r="G3" s="232"/>
      <c r="H3" s="232"/>
      <c r="I3" s="232"/>
      <c r="J3" s="6"/>
      <c r="M3" s="160"/>
      <c r="N3" s="238" t="s">
        <v>137</v>
      </c>
      <c r="O3" s="238"/>
      <c r="P3" s="238"/>
      <c r="Q3" s="238"/>
      <c r="R3" s="238"/>
      <c r="S3" s="238"/>
      <c r="T3" s="238"/>
      <c r="U3" s="161"/>
      <c r="W3" s="51" t="s">
        <v>111</v>
      </c>
    </row>
    <row r="4" spans="2:23" ht="15.75" customHeight="1" thickBot="1" x14ac:dyDescent="0.3">
      <c r="B4" s="5"/>
      <c r="C4" s="1"/>
      <c r="D4" s="1"/>
      <c r="E4" s="1"/>
      <c r="F4" s="1"/>
      <c r="G4" s="1"/>
      <c r="H4" s="1"/>
      <c r="I4" s="32"/>
      <c r="J4" s="6"/>
      <c r="M4" s="160"/>
      <c r="N4" s="162"/>
      <c r="O4" s="162"/>
      <c r="P4" s="162"/>
      <c r="Q4" s="162"/>
      <c r="R4" s="162"/>
      <c r="S4" s="162"/>
      <c r="T4" s="162"/>
      <c r="U4" s="161"/>
    </row>
    <row r="5" spans="2:23" ht="15.75" customHeight="1" thickBot="1" x14ac:dyDescent="0.3">
      <c r="B5" s="5"/>
      <c r="C5" s="242" t="s">
        <v>166</v>
      </c>
      <c r="D5" s="243"/>
      <c r="E5" s="243"/>
      <c r="F5" s="243"/>
      <c r="G5" s="243"/>
      <c r="H5" s="243"/>
      <c r="I5" s="244"/>
      <c r="J5" s="6"/>
      <c r="M5" s="160"/>
      <c r="N5" s="239" t="s">
        <v>135</v>
      </c>
      <c r="O5" s="240"/>
      <c r="P5" s="240"/>
      <c r="Q5" s="240"/>
      <c r="R5" s="240"/>
      <c r="S5" s="240"/>
      <c r="T5" s="241"/>
      <c r="U5" s="163"/>
    </row>
    <row r="6" spans="2:23" ht="15.75" customHeight="1" x14ac:dyDescent="0.25">
      <c r="B6" s="5"/>
      <c r="C6" s="2"/>
      <c r="D6" s="126"/>
      <c r="E6" s="116"/>
      <c r="F6" s="116"/>
      <c r="G6" s="116"/>
      <c r="H6" s="116"/>
      <c r="I6" s="117"/>
      <c r="J6" s="6"/>
      <c r="M6" s="160"/>
      <c r="N6" s="157"/>
      <c r="O6" s="158"/>
      <c r="P6" s="158"/>
      <c r="Q6" s="158"/>
      <c r="R6" s="158"/>
      <c r="S6" s="158"/>
      <c r="T6" s="159"/>
      <c r="U6" s="161"/>
    </row>
    <row r="7" spans="2:23" ht="15.75" customHeight="1" x14ac:dyDescent="0.25">
      <c r="B7" s="5"/>
      <c r="C7" s="5"/>
      <c r="D7" s="20"/>
      <c r="E7" s="21" t="s">
        <v>25</v>
      </c>
      <c r="F7" s="21" t="s">
        <v>26</v>
      </c>
      <c r="G7" s="21" t="s">
        <v>27</v>
      </c>
      <c r="H7" s="21" t="s">
        <v>28</v>
      </c>
      <c r="I7" s="118"/>
      <c r="J7" s="6"/>
      <c r="M7" s="160"/>
      <c r="N7" s="160"/>
      <c r="O7" s="212"/>
      <c r="P7" s="164" t="s">
        <v>25</v>
      </c>
      <c r="Q7" s="164" t="s">
        <v>26</v>
      </c>
      <c r="R7" s="164" t="s">
        <v>27</v>
      </c>
      <c r="S7" s="164" t="s">
        <v>28</v>
      </c>
      <c r="T7" s="161"/>
      <c r="U7" s="161"/>
    </row>
    <row r="8" spans="2:23" ht="15.75" customHeight="1" x14ac:dyDescent="0.25">
      <c r="B8" s="5"/>
      <c r="C8" s="5"/>
      <c r="D8" s="74"/>
      <c r="E8" s="69"/>
      <c r="F8" s="69"/>
      <c r="G8" s="69"/>
      <c r="H8" s="69"/>
      <c r="I8" s="119"/>
      <c r="J8" s="6"/>
      <c r="M8" s="160"/>
      <c r="N8" s="160"/>
      <c r="O8" s="162"/>
      <c r="P8" s="162"/>
      <c r="Q8" s="162"/>
      <c r="R8" s="162"/>
      <c r="S8" s="162"/>
      <c r="T8" s="161"/>
      <c r="U8" s="161"/>
    </row>
    <row r="9" spans="2:23" ht="15.75" customHeight="1" x14ac:dyDescent="0.25">
      <c r="B9" s="5"/>
      <c r="C9" s="5"/>
      <c r="D9" s="70" t="s">
        <v>129</v>
      </c>
      <c r="E9" s="79">
        <f>'Exhibit A3'!E7/Aramco!D5</f>
        <v>8.8000000000000009E-2</v>
      </c>
      <c r="F9" s="79">
        <f>'Exhibit A3'!F7</f>
        <v>1.51</v>
      </c>
      <c r="G9" s="79">
        <f>'Exhibit A3'!G7</f>
        <v>0.91</v>
      </c>
      <c r="H9" s="79">
        <f>'Exhibit A3'!H7</f>
        <v>0.13</v>
      </c>
      <c r="I9" s="120"/>
      <c r="J9" s="6"/>
      <c r="M9" s="160"/>
      <c r="N9" s="160"/>
      <c r="O9" s="162" t="s">
        <v>150</v>
      </c>
      <c r="P9" s="165">
        <f>'Exhibit A4'!D6</f>
        <v>0.113</v>
      </c>
      <c r="Q9" s="165">
        <f>'Exhibit A4'!E6</f>
        <v>0.108</v>
      </c>
      <c r="R9" s="165">
        <f>'Exhibit A4'!F6</f>
        <v>0.10299999999999999</v>
      </c>
      <c r="S9" s="165">
        <f>'Exhibit A4'!G6</f>
        <v>0.14000000000000001</v>
      </c>
      <c r="T9" s="161"/>
      <c r="U9" s="161"/>
    </row>
    <row r="10" spans="2:23" ht="15.75" customHeight="1" x14ac:dyDescent="0.25">
      <c r="B10" s="5"/>
      <c r="C10" s="5"/>
      <c r="D10" s="70" t="s">
        <v>34</v>
      </c>
      <c r="E10" s="80">
        <f>P12</f>
        <v>2.7126161477855959E-2</v>
      </c>
      <c r="F10" s="80">
        <f t="shared" ref="F10:H10" si="0">Q12</f>
        <v>2.5970657160945043E-2</v>
      </c>
      <c r="G10" s="80">
        <f t="shared" si="0"/>
        <v>2.4811235423036315E-2</v>
      </c>
      <c r="H10" s="80">
        <f t="shared" si="0"/>
        <v>3.3299484758959608E-2</v>
      </c>
      <c r="I10" s="121"/>
      <c r="J10" s="6"/>
      <c r="M10" s="160"/>
      <c r="N10" s="160"/>
      <c r="O10" s="162" t="s">
        <v>35</v>
      </c>
      <c r="P10" s="166">
        <v>4</v>
      </c>
      <c r="Q10" s="166">
        <v>4</v>
      </c>
      <c r="R10" s="166">
        <v>4</v>
      </c>
      <c r="S10" s="166">
        <v>4</v>
      </c>
      <c r="T10" s="161"/>
      <c r="U10" s="161"/>
    </row>
    <row r="11" spans="2:23" ht="15.75" customHeight="1" x14ac:dyDescent="0.25">
      <c r="B11" s="5"/>
      <c r="C11" s="5"/>
      <c r="D11" s="74" t="s">
        <v>36</v>
      </c>
      <c r="E11" s="109">
        <f>E9/E10</f>
        <v>3.2441007206949464</v>
      </c>
      <c r="F11" s="109">
        <f>F9/F10</f>
        <v>58.142541047084265</v>
      </c>
      <c r="G11" s="109">
        <f>G9/G10</f>
        <v>36.67693222382222</v>
      </c>
      <c r="H11" s="109">
        <f>H9/H10</f>
        <v>3.9039643087877511</v>
      </c>
      <c r="I11" s="122"/>
      <c r="J11" s="6"/>
      <c r="M11" s="160"/>
      <c r="N11" s="160"/>
      <c r="O11" s="162"/>
      <c r="P11" s="162"/>
      <c r="Q11" s="162"/>
      <c r="R11" s="162"/>
      <c r="S11" s="162"/>
      <c r="T11" s="161"/>
      <c r="U11" s="161"/>
    </row>
    <row r="12" spans="2:23" ht="15.75" customHeight="1" x14ac:dyDescent="0.25">
      <c r="B12" s="5"/>
      <c r="C12" s="5"/>
      <c r="D12" s="68"/>
      <c r="E12" s="67"/>
      <c r="F12" s="67"/>
      <c r="G12" s="67"/>
      <c r="H12" s="67"/>
      <c r="I12" s="120"/>
      <c r="J12" s="6"/>
      <c r="M12" s="160"/>
      <c r="N12" s="160"/>
      <c r="O12" s="212" t="s">
        <v>34</v>
      </c>
      <c r="P12" s="213">
        <f>(1+P9)^(1/P10)-1</f>
        <v>2.7126161477855959E-2</v>
      </c>
      <c r="Q12" s="213">
        <f t="shared" ref="Q12:S12" si="1">(1+Q9)^(1/Q10)-1</f>
        <v>2.5970657160945043E-2</v>
      </c>
      <c r="R12" s="213">
        <f t="shared" si="1"/>
        <v>2.4811235423036315E-2</v>
      </c>
      <c r="S12" s="213">
        <f t="shared" si="1"/>
        <v>3.3299484758959608E-2</v>
      </c>
      <c r="T12" s="161"/>
      <c r="U12" s="161"/>
    </row>
    <row r="13" spans="2:23" ht="15.75" customHeight="1" thickBot="1" x14ac:dyDescent="0.3">
      <c r="B13" s="5"/>
      <c r="C13" s="5"/>
      <c r="D13" s="75" t="s">
        <v>128</v>
      </c>
      <c r="E13" s="79">
        <f>'Exhibit A2'!D6/Aramco!D5</f>
        <v>7.8293333333333335</v>
      </c>
      <c r="F13" s="79">
        <f>'Exhibit A2'!E6</f>
        <v>163.16</v>
      </c>
      <c r="G13" s="79">
        <f>'Exhibit A2'!F6</f>
        <v>109.66</v>
      </c>
      <c r="H13" s="79">
        <f>'Exhibit A2'!G6</f>
        <v>62.43</v>
      </c>
      <c r="I13" s="120"/>
      <c r="J13" s="6"/>
      <c r="M13" s="160"/>
      <c r="N13" s="167"/>
      <c r="O13" s="168"/>
      <c r="P13" s="168"/>
      <c r="Q13" s="168"/>
      <c r="R13" s="168"/>
      <c r="S13" s="168"/>
      <c r="T13" s="169"/>
      <c r="U13" s="161"/>
    </row>
    <row r="14" spans="2:23" ht="15.75" customHeight="1" x14ac:dyDescent="0.25">
      <c r="B14" s="5"/>
      <c r="C14" s="5"/>
      <c r="D14" s="75"/>
      <c r="E14" s="67"/>
      <c r="F14" s="67"/>
      <c r="G14" s="67"/>
      <c r="H14" s="67"/>
      <c r="I14" s="120"/>
      <c r="J14" s="6"/>
      <c r="M14" s="160"/>
      <c r="N14" s="162"/>
      <c r="O14" s="162"/>
      <c r="P14" s="162"/>
      <c r="Q14" s="162"/>
      <c r="R14" s="162"/>
      <c r="S14" s="162"/>
      <c r="T14" s="162"/>
      <c r="U14" s="161"/>
    </row>
    <row r="15" spans="2:23" ht="15.75" customHeight="1" x14ac:dyDescent="0.25">
      <c r="B15" s="5"/>
      <c r="C15" s="5"/>
      <c r="D15" s="77" t="s">
        <v>37</v>
      </c>
      <c r="E15" s="82">
        <f>E13/E11</f>
        <v>2.413406366635912</v>
      </c>
      <c r="F15" s="82">
        <f>F13/F11</f>
        <v>2.8062069022382734</v>
      </c>
      <c r="G15" s="82">
        <f>G13/G11</f>
        <v>2.9898901939452331</v>
      </c>
      <c r="H15" s="82">
        <f>H13/H11</f>
        <v>15.991437180783448</v>
      </c>
      <c r="I15" s="123"/>
      <c r="J15" s="6"/>
      <c r="M15" s="160"/>
      <c r="N15" s="162"/>
      <c r="O15" s="162"/>
      <c r="P15" s="162"/>
      <c r="Q15" s="162"/>
      <c r="R15" s="162"/>
      <c r="S15" s="162"/>
      <c r="T15" s="162"/>
      <c r="U15" s="161"/>
    </row>
    <row r="16" spans="2:23" ht="15.75" customHeight="1" thickBot="1" x14ac:dyDescent="0.3">
      <c r="B16" s="5"/>
      <c r="C16" s="14"/>
      <c r="D16" s="15"/>
      <c r="E16" s="15"/>
      <c r="F16" s="15"/>
      <c r="G16" s="15"/>
      <c r="H16" s="15"/>
      <c r="I16" s="149"/>
      <c r="J16" s="6"/>
      <c r="M16" s="160"/>
      <c r="N16" s="162"/>
      <c r="O16" s="162"/>
      <c r="P16" s="162"/>
      <c r="Q16" s="162"/>
      <c r="R16" s="162"/>
      <c r="S16" s="162"/>
      <c r="T16" s="162"/>
      <c r="U16" s="161"/>
    </row>
    <row r="17" spans="2:23" ht="15.75" customHeight="1" thickBot="1" x14ac:dyDescent="0.3">
      <c r="B17" s="5"/>
      <c r="C17" s="1"/>
      <c r="D17" s="1"/>
      <c r="E17" s="1"/>
      <c r="F17" s="1"/>
      <c r="G17" s="1"/>
      <c r="H17" s="1"/>
      <c r="I17" s="32"/>
      <c r="J17" s="6"/>
      <c r="M17" s="160"/>
      <c r="N17" s="162"/>
      <c r="O17" s="162"/>
      <c r="P17" s="162"/>
      <c r="Q17" s="162"/>
      <c r="R17" s="162"/>
      <c r="S17" s="162"/>
      <c r="T17" s="162"/>
      <c r="U17" s="161"/>
    </row>
    <row r="18" spans="2:23" ht="15.75" customHeight="1" thickBot="1" x14ac:dyDescent="0.3">
      <c r="B18" s="5"/>
      <c r="C18" s="242" t="s">
        <v>167</v>
      </c>
      <c r="D18" s="243"/>
      <c r="E18" s="243"/>
      <c r="F18" s="243"/>
      <c r="G18" s="243"/>
      <c r="H18" s="243"/>
      <c r="I18" s="244"/>
      <c r="J18" s="6"/>
      <c r="M18" s="160"/>
      <c r="N18" s="239" t="s">
        <v>136</v>
      </c>
      <c r="O18" s="240"/>
      <c r="P18" s="240"/>
      <c r="Q18" s="240"/>
      <c r="R18" s="240"/>
      <c r="S18" s="240"/>
      <c r="T18" s="241"/>
      <c r="U18" s="161"/>
    </row>
    <row r="19" spans="2:23" ht="15.75" customHeight="1" x14ac:dyDescent="0.25">
      <c r="B19" s="5"/>
      <c r="C19" s="2"/>
      <c r="D19" s="126"/>
      <c r="E19" s="127"/>
      <c r="F19" s="127"/>
      <c r="G19" s="127"/>
      <c r="H19" s="127"/>
      <c r="I19" s="128"/>
      <c r="J19" s="6"/>
      <c r="M19" s="160"/>
      <c r="N19" s="157"/>
      <c r="O19" s="158"/>
      <c r="P19" s="170"/>
      <c r="Q19" s="158"/>
      <c r="R19" s="158"/>
      <c r="S19" s="158"/>
      <c r="T19" s="159"/>
      <c r="U19" s="161"/>
    </row>
    <row r="20" spans="2:23" ht="15.75" customHeight="1" x14ac:dyDescent="0.25">
      <c r="B20" s="5"/>
      <c r="C20" s="5"/>
      <c r="D20" s="143"/>
      <c r="E20" s="21" t="s">
        <v>25</v>
      </c>
      <c r="F20" s="21" t="s">
        <v>26</v>
      </c>
      <c r="G20" s="21" t="s">
        <v>27</v>
      </c>
      <c r="H20" s="21" t="s">
        <v>28</v>
      </c>
      <c r="I20" s="118"/>
      <c r="J20" s="6"/>
      <c r="M20" s="160"/>
      <c r="N20" s="160"/>
      <c r="O20" s="212"/>
      <c r="P20" s="164" t="s">
        <v>25</v>
      </c>
      <c r="Q20" s="164" t="s">
        <v>26</v>
      </c>
      <c r="R20" s="164" t="s">
        <v>27</v>
      </c>
      <c r="S20" s="164" t="s">
        <v>28</v>
      </c>
      <c r="T20" s="161"/>
      <c r="U20" s="161"/>
    </row>
    <row r="21" spans="2:23" ht="15.75" customHeight="1" x14ac:dyDescent="0.25">
      <c r="B21" s="5"/>
      <c r="C21" s="5"/>
      <c r="D21" s="68"/>
      <c r="E21" s="68"/>
      <c r="F21" s="68"/>
      <c r="G21" s="68"/>
      <c r="H21" s="68"/>
      <c r="I21" s="129"/>
      <c r="J21" s="6"/>
      <c r="M21" s="160"/>
      <c r="N21" s="160"/>
      <c r="O21" s="162"/>
      <c r="P21" s="162"/>
      <c r="Q21" s="162"/>
      <c r="R21" s="162"/>
      <c r="S21" s="162"/>
      <c r="T21" s="161"/>
      <c r="U21" s="161"/>
    </row>
    <row r="22" spans="2:23" ht="15.75" customHeight="1" x14ac:dyDescent="0.25">
      <c r="B22" s="5"/>
      <c r="C22" s="5"/>
      <c r="D22" s="70" t="s">
        <v>129</v>
      </c>
      <c r="E22" s="79">
        <f>E9</f>
        <v>8.8000000000000009E-2</v>
      </c>
      <c r="F22" s="79">
        <f t="shared" ref="F22:H22" si="2">F9</f>
        <v>1.51</v>
      </c>
      <c r="G22" s="79">
        <f t="shared" si="2"/>
        <v>0.91</v>
      </c>
      <c r="H22" s="79">
        <f t="shared" si="2"/>
        <v>0.13</v>
      </c>
      <c r="I22" s="120"/>
      <c r="J22" s="6"/>
      <c r="M22" s="160"/>
      <c r="N22" s="160"/>
      <c r="O22" s="162" t="s">
        <v>38</v>
      </c>
      <c r="P22" s="171">
        <f>E23</f>
        <v>1.5709386811935486E-2</v>
      </c>
      <c r="Q22" s="171">
        <f>F23</f>
        <v>1.6562617075312765E-2</v>
      </c>
      <c r="R22" s="171">
        <f>G23</f>
        <v>1.6376957795264987E-2</v>
      </c>
      <c r="S22" s="171">
        <f>H23</f>
        <v>3.1152283637790597E-2</v>
      </c>
      <c r="T22" s="161"/>
      <c r="U22" s="161"/>
    </row>
    <row r="23" spans="2:23" ht="15.75" customHeight="1" x14ac:dyDescent="0.25">
      <c r="B23" s="5"/>
      <c r="C23" s="5"/>
      <c r="D23" s="70" t="s">
        <v>38</v>
      </c>
      <c r="E23" s="83">
        <v>1.5709386811935486E-2</v>
      </c>
      <c r="F23" s="83">
        <v>1.6562617075312765E-2</v>
      </c>
      <c r="G23" s="83">
        <v>1.6376957795264987E-2</v>
      </c>
      <c r="H23" s="83">
        <v>3.1152283637790597E-2</v>
      </c>
      <c r="I23" s="130"/>
      <c r="J23" s="6"/>
      <c r="M23" s="160"/>
      <c r="N23" s="160"/>
      <c r="O23" s="162" t="s">
        <v>35</v>
      </c>
      <c r="P23" s="166">
        <v>4</v>
      </c>
      <c r="Q23" s="166">
        <v>4</v>
      </c>
      <c r="R23" s="166">
        <v>4</v>
      </c>
      <c r="S23" s="166">
        <v>4</v>
      </c>
      <c r="T23" s="161"/>
      <c r="U23" s="161"/>
    </row>
    <row r="24" spans="2:23" ht="15.75" customHeight="1" x14ac:dyDescent="0.25">
      <c r="B24" s="5"/>
      <c r="C24" s="5"/>
      <c r="D24" s="70" t="s">
        <v>130</v>
      </c>
      <c r="E24" s="79">
        <f>E22*(1+E23)</f>
        <v>8.9382426039450333E-2</v>
      </c>
      <c r="F24" s="79">
        <f>F22*(1+F23)</f>
        <v>1.5350095517837223</v>
      </c>
      <c r="G24" s="79">
        <f>G22*(1+G23)</f>
        <v>0.92490303159369125</v>
      </c>
      <c r="H24" s="79">
        <f>H22*(1+H23)</f>
        <v>0.1340497968729128</v>
      </c>
      <c r="I24" s="120"/>
      <c r="J24" s="6"/>
      <c r="M24" s="160"/>
      <c r="N24" s="160"/>
      <c r="O24" s="162"/>
      <c r="P24" s="162"/>
      <c r="Q24" s="162"/>
      <c r="R24" s="162"/>
      <c r="S24" s="162"/>
      <c r="T24" s="161"/>
      <c r="U24" s="161"/>
    </row>
    <row r="25" spans="2:23" ht="15.75" customHeight="1" x14ac:dyDescent="0.25">
      <c r="B25" s="5"/>
      <c r="C25" s="5"/>
      <c r="D25" s="70" t="s">
        <v>34</v>
      </c>
      <c r="E25" s="84">
        <f>P12</f>
        <v>2.7126161477855959E-2</v>
      </c>
      <c r="F25" s="84">
        <f t="shared" ref="F25:H25" si="3">Q12</f>
        <v>2.5970657160945043E-2</v>
      </c>
      <c r="G25" s="84">
        <f t="shared" si="3"/>
        <v>2.4811235423036315E-2</v>
      </c>
      <c r="H25" s="84">
        <f t="shared" si="3"/>
        <v>3.3299484758959608E-2</v>
      </c>
      <c r="I25" s="130"/>
      <c r="J25" s="6"/>
      <c r="M25" s="160"/>
      <c r="N25" s="160"/>
      <c r="O25" s="212" t="s">
        <v>151</v>
      </c>
      <c r="P25" s="213">
        <f>(1+P22)^P23-1</f>
        <v>6.4333824508205684E-2</v>
      </c>
      <c r="Q25" s="213">
        <f>(1+Q22)^Q23-1</f>
        <v>6.7914639106475105E-2</v>
      </c>
      <c r="R25" s="213">
        <f>(1+R22)^R23-1</f>
        <v>6.7134701105877603E-2</v>
      </c>
      <c r="S25" s="213">
        <f>(1+S22)^S23-1</f>
        <v>0.1305537937839707</v>
      </c>
      <c r="T25" s="161"/>
      <c r="U25" s="161"/>
    </row>
    <row r="26" spans="2:23" ht="15.75" customHeight="1" thickBot="1" x14ac:dyDescent="0.3">
      <c r="B26" s="5"/>
      <c r="C26" s="5"/>
      <c r="D26" s="68" t="s">
        <v>36</v>
      </c>
      <c r="E26" s="79">
        <f>E24/(E25-E23)</f>
        <v>7.8290435481975864</v>
      </c>
      <c r="F26" s="79">
        <f>F24/(F25-F23)</f>
        <v>163.15933369883811</v>
      </c>
      <c r="G26" s="79">
        <f>G24/(G25-G23)</f>
        <v>109.66001742085024</v>
      </c>
      <c r="H26" s="79">
        <f>H24/(H25-H23)</f>
        <v>62.43001438073555</v>
      </c>
      <c r="I26" s="120"/>
      <c r="J26" s="6"/>
      <c r="M26" s="160"/>
      <c r="N26" s="167"/>
      <c r="O26" s="168"/>
      <c r="P26" s="168"/>
      <c r="Q26" s="168"/>
      <c r="R26" s="168"/>
      <c r="S26" s="168"/>
      <c r="T26" s="169"/>
      <c r="U26" s="163"/>
    </row>
    <row r="27" spans="2:23" ht="15.75" customHeight="1" thickBot="1" x14ac:dyDescent="0.3">
      <c r="B27" s="5"/>
      <c r="C27" s="5"/>
      <c r="D27" s="68"/>
      <c r="E27" s="68"/>
      <c r="F27" s="68"/>
      <c r="G27" s="68"/>
      <c r="H27" s="68"/>
      <c r="I27" s="129"/>
      <c r="J27" s="6"/>
      <c r="M27" s="167"/>
      <c r="N27" s="168"/>
      <c r="O27" s="168"/>
      <c r="P27" s="168"/>
      <c r="Q27" s="168"/>
      <c r="R27" s="168"/>
      <c r="S27" s="168"/>
      <c r="T27" s="168"/>
      <c r="U27" s="169"/>
      <c r="V27" s="1"/>
      <c r="W27" s="1"/>
    </row>
    <row r="28" spans="2:23" ht="15.75" customHeight="1" x14ac:dyDescent="0.25">
      <c r="B28" s="5"/>
      <c r="C28" s="5"/>
      <c r="D28" s="143" t="s">
        <v>39</v>
      </c>
      <c r="E28" s="105">
        <f>P25</f>
        <v>6.4333824508205684E-2</v>
      </c>
      <c r="F28" s="105">
        <f>Q25</f>
        <v>6.7914639106475105E-2</v>
      </c>
      <c r="G28" s="105">
        <f>R25</f>
        <v>6.7134701105877603E-2</v>
      </c>
      <c r="H28" s="105">
        <f>S25</f>
        <v>0.1305537937839707</v>
      </c>
      <c r="I28" s="131"/>
      <c r="J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 ht="15.75" customHeight="1" thickBot="1" x14ac:dyDescent="0.3">
      <c r="B29" s="5"/>
      <c r="C29" s="14"/>
      <c r="D29" s="132"/>
      <c r="E29" s="133"/>
      <c r="F29" s="133"/>
      <c r="G29" s="133"/>
      <c r="H29" s="133"/>
      <c r="I29" s="134"/>
      <c r="J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 ht="15.75" customHeight="1" thickBot="1" x14ac:dyDescent="0.3">
      <c r="B30" s="14"/>
      <c r="C30" s="15"/>
      <c r="D30" s="15"/>
      <c r="E30" s="15"/>
      <c r="F30" s="15"/>
      <c r="G30" s="15"/>
      <c r="H30" s="15"/>
      <c r="I30" s="115"/>
      <c r="J30" s="1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 ht="15.75" customHeight="1" x14ac:dyDescent="0.25"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ht="15.75" customHeight="1" x14ac:dyDescent="0.25"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</sheetData>
  <mergeCells count="6">
    <mergeCell ref="N3:T3"/>
    <mergeCell ref="C3:I3"/>
    <mergeCell ref="N5:T5"/>
    <mergeCell ref="C5:I5"/>
    <mergeCell ref="C18:I18"/>
    <mergeCell ref="N18:T18"/>
  </mergeCells>
  <hyperlinks>
    <hyperlink ref="W3" location="'Table of Content'!A1" display="Return to TOC" xr:uid="{436CD242-F4E2-4A85-8E17-97325EADC59B}"/>
  </hyperlinks>
  <pageMargins left="0.2" right="0.2" top="0.25" bottom="0.25" header="0.3" footer="0.3"/>
  <pageSetup scale="51" orientation="landscape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12EB-17F8-4FFA-829E-E83EFFB4F264}">
  <sheetPr>
    <tabColor theme="9" tint="0.59999389629810485"/>
    <pageSetUpPr fitToPage="1"/>
  </sheetPr>
  <dimension ref="B1:L33"/>
  <sheetViews>
    <sheetView showGridLines="0" workbookViewId="0">
      <selection activeCell="C3" sqref="C3:I3"/>
    </sheetView>
  </sheetViews>
  <sheetFormatPr defaultColWidth="12.7109375" defaultRowHeight="15.75" customHeight="1" x14ac:dyDescent="0.25"/>
  <cols>
    <col min="1" max="3" width="2.7109375" style="19" customWidth="1"/>
    <col min="4" max="4" width="48.7109375" style="19" customWidth="1"/>
    <col min="5" max="8" width="15.7109375" style="19" customWidth="1"/>
    <col min="9" max="9" width="2.7109375" style="32" customWidth="1"/>
    <col min="10" max="11" width="2.7109375" style="19" customWidth="1"/>
    <col min="12" max="12" width="15.7109375" style="19" customWidth="1"/>
    <col min="13" max="16384" width="12.7109375" style="19"/>
  </cols>
  <sheetData>
    <row r="1" spans="2:12" ht="15.75" customHeight="1" thickBot="1" x14ac:dyDescent="0.3"/>
    <row r="2" spans="2:12" ht="15.75" customHeight="1" x14ac:dyDescent="0.25">
      <c r="B2" s="2"/>
      <c r="C2" s="3"/>
      <c r="D2" s="3"/>
      <c r="E2" s="3"/>
      <c r="F2" s="3"/>
      <c r="G2" s="3"/>
      <c r="H2" s="3"/>
      <c r="I2" s="113"/>
      <c r="J2" s="4"/>
    </row>
    <row r="3" spans="2:12" ht="15.75" customHeight="1" x14ac:dyDescent="0.25">
      <c r="B3" s="5"/>
      <c r="C3" s="232" t="s">
        <v>170</v>
      </c>
      <c r="D3" s="232"/>
      <c r="E3" s="232"/>
      <c r="F3" s="232"/>
      <c r="G3" s="232"/>
      <c r="H3" s="232"/>
      <c r="I3" s="232"/>
      <c r="J3" s="6"/>
      <c r="L3" s="51" t="s">
        <v>111</v>
      </c>
    </row>
    <row r="4" spans="2:12" ht="15.75" customHeight="1" thickBot="1" x14ac:dyDescent="0.3">
      <c r="B4" s="5"/>
      <c r="C4" s="1"/>
      <c r="D4" s="1"/>
      <c r="E4" s="1"/>
      <c r="F4" s="1"/>
      <c r="G4" s="1"/>
      <c r="H4" s="1"/>
      <c r="J4" s="6"/>
    </row>
    <row r="5" spans="2:12" ht="15.75" customHeight="1" thickBot="1" x14ac:dyDescent="0.3">
      <c r="B5" s="5"/>
      <c r="C5" s="242" t="s">
        <v>168</v>
      </c>
      <c r="D5" s="243"/>
      <c r="E5" s="243"/>
      <c r="F5" s="243"/>
      <c r="G5" s="243"/>
      <c r="H5" s="243"/>
      <c r="I5" s="244"/>
      <c r="J5" s="6"/>
    </row>
    <row r="6" spans="2:12" ht="15.75" customHeight="1" x14ac:dyDescent="0.25">
      <c r="B6" s="5"/>
      <c r="C6" s="2"/>
      <c r="D6" s="126"/>
      <c r="E6" s="116"/>
      <c r="F6" s="116"/>
      <c r="G6" s="116"/>
      <c r="H6" s="116"/>
      <c r="I6" s="117"/>
      <c r="J6" s="6"/>
    </row>
    <row r="7" spans="2:12" ht="15.75" customHeight="1" x14ac:dyDescent="0.25">
      <c r="B7" s="5"/>
      <c r="C7" s="5"/>
      <c r="D7" s="187"/>
      <c r="E7" s="21" t="s">
        <v>25</v>
      </c>
      <c r="F7" s="21" t="s">
        <v>26</v>
      </c>
      <c r="G7" s="21" t="s">
        <v>27</v>
      </c>
      <c r="H7" s="21" t="s">
        <v>28</v>
      </c>
      <c r="I7" s="118"/>
      <c r="J7" s="6"/>
    </row>
    <row r="8" spans="2:12" ht="15.75" customHeight="1" x14ac:dyDescent="0.25">
      <c r="B8" s="5"/>
      <c r="C8" s="5"/>
      <c r="D8" s="68"/>
      <c r="E8" s="69"/>
      <c r="F8" s="69"/>
      <c r="G8" s="69"/>
      <c r="H8" s="69"/>
      <c r="I8" s="119"/>
      <c r="J8" s="6"/>
    </row>
    <row r="9" spans="2:12" ht="15.75" customHeight="1" x14ac:dyDescent="0.25">
      <c r="B9" s="5"/>
      <c r="C9" s="5"/>
      <c r="D9" s="75" t="s">
        <v>32</v>
      </c>
      <c r="E9" s="79">
        <f>'Exhibit A2'!D6/Aramco!D5</f>
        <v>7.8293333333333335</v>
      </c>
      <c r="F9" s="79">
        <f>'Exhibit A2'!E6</f>
        <v>163.16</v>
      </c>
      <c r="G9" s="79">
        <f>'Exhibit A2'!F6</f>
        <v>109.66</v>
      </c>
      <c r="H9" s="79">
        <f>'Exhibit A2'!G6</f>
        <v>62.43</v>
      </c>
      <c r="I9" s="120"/>
      <c r="J9" s="6"/>
    </row>
    <row r="10" spans="2:12" ht="15.75" customHeight="1" x14ac:dyDescent="0.25">
      <c r="B10" s="5"/>
      <c r="C10" s="5"/>
      <c r="D10" s="70"/>
      <c r="E10" s="110"/>
      <c r="F10" s="110"/>
      <c r="G10" s="110"/>
      <c r="H10" s="110"/>
      <c r="I10" s="120"/>
      <c r="J10" s="6"/>
    </row>
    <row r="11" spans="2:12" ht="15.75" customHeight="1" x14ac:dyDescent="0.25">
      <c r="B11" s="5"/>
      <c r="C11" s="5"/>
      <c r="D11" s="70" t="s">
        <v>51</v>
      </c>
      <c r="E11" s="81">
        <f>Aramco!K14</f>
        <v>161068</v>
      </c>
      <c r="F11" s="81">
        <f>Chevron!D12</f>
        <v>35608</v>
      </c>
      <c r="G11" s="81">
        <f>Exxon!D12</f>
        <v>57577</v>
      </c>
      <c r="H11" s="81">
        <f>Oxy!D12</f>
        <v>13304</v>
      </c>
      <c r="I11" s="135"/>
      <c r="J11" s="6"/>
    </row>
    <row r="12" spans="2:12" ht="15.75" customHeight="1" x14ac:dyDescent="0.25">
      <c r="B12" s="5"/>
      <c r="C12" s="5"/>
      <c r="D12" s="144" t="s">
        <v>23</v>
      </c>
      <c r="E12" s="85">
        <f>Aramco!D38</f>
        <v>220000</v>
      </c>
      <c r="F12" s="85">
        <f>Chevron!D36</f>
        <v>1915</v>
      </c>
      <c r="G12" s="85">
        <f>Exxon!D35</f>
        <v>4082</v>
      </c>
      <c r="H12" s="85">
        <f>Oxy!D39</f>
        <v>900</v>
      </c>
      <c r="I12" s="136"/>
      <c r="J12" s="6"/>
    </row>
    <row r="13" spans="2:12" ht="15.75" customHeight="1" x14ac:dyDescent="0.25">
      <c r="B13" s="5"/>
      <c r="C13" s="5"/>
      <c r="D13" s="75" t="s">
        <v>52</v>
      </c>
      <c r="E13" s="79">
        <f>E11/E12</f>
        <v>0.73212727272727274</v>
      </c>
      <c r="F13" s="79">
        <f>F11/F12</f>
        <v>18.594255874673628</v>
      </c>
      <c r="G13" s="79">
        <f>G11/G12</f>
        <v>14.105095541401274</v>
      </c>
      <c r="H13" s="79">
        <f>H11/H12</f>
        <v>14.782222222222222</v>
      </c>
      <c r="I13" s="120"/>
      <c r="J13" s="6"/>
    </row>
    <row r="14" spans="2:12" ht="15.75" customHeight="1" x14ac:dyDescent="0.25">
      <c r="B14" s="5"/>
      <c r="C14" s="5"/>
      <c r="D14" s="70"/>
      <c r="E14" s="110"/>
      <c r="F14" s="110"/>
      <c r="G14" s="110"/>
      <c r="H14" s="110"/>
      <c r="I14" s="120"/>
      <c r="J14" s="6"/>
    </row>
    <row r="15" spans="2:12" ht="15.75" customHeight="1" x14ac:dyDescent="0.25">
      <c r="B15" s="5"/>
      <c r="C15" s="5"/>
      <c r="D15" s="143" t="s">
        <v>40</v>
      </c>
      <c r="E15" s="106">
        <f>E9/E13</f>
        <v>10.69395120901317</v>
      </c>
      <c r="F15" s="106">
        <f>F9/F13</f>
        <v>8.7747528645248263</v>
      </c>
      <c r="G15" s="106">
        <f>G9/G13</f>
        <v>7.7744953714156688</v>
      </c>
      <c r="H15" s="106">
        <f>H9/H13</f>
        <v>4.2233162958508723</v>
      </c>
      <c r="I15" s="137"/>
      <c r="J15" s="6"/>
    </row>
    <row r="16" spans="2:12" ht="15.75" customHeight="1" thickBot="1" x14ac:dyDescent="0.3">
      <c r="B16" s="5"/>
      <c r="C16" s="14"/>
      <c r="D16" s="78"/>
      <c r="E16" s="124"/>
      <c r="F16" s="124"/>
      <c r="G16" s="124"/>
      <c r="H16" s="124"/>
      <c r="I16" s="125"/>
      <c r="J16" s="6"/>
    </row>
    <row r="17" spans="2:10" ht="15.75" customHeight="1" thickBot="1" x14ac:dyDescent="0.3">
      <c r="B17" s="5"/>
      <c r="C17" s="1"/>
      <c r="D17" s="68"/>
      <c r="E17" s="76"/>
      <c r="F17" s="76"/>
      <c r="G17" s="76"/>
      <c r="H17" s="76"/>
      <c r="I17" s="114"/>
      <c r="J17" s="6"/>
    </row>
    <row r="18" spans="2:10" ht="15.75" customHeight="1" thickBot="1" x14ac:dyDescent="0.3">
      <c r="B18" s="5"/>
      <c r="C18" s="242" t="s">
        <v>169</v>
      </c>
      <c r="D18" s="243"/>
      <c r="E18" s="243"/>
      <c r="F18" s="243"/>
      <c r="G18" s="243"/>
      <c r="H18" s="243"/>
      <c r="I18" s="244"/>
      <c r="J18" s="6"/>
    </row>
    <row r="19" spans="2:10" ht="15.75" customHeight="1" x14ac:dyDescent="0.25">
      <c r="B19" s="5"/>
      <c r="C19" s="2"/>
      <c r="D19" s="126"/>
      <c r="E19" s="138"/>
      <c r="F19" s="138"/>
      <c r="G19" s="138"/>
      <c r="H19" s="138"/>
      <c r="I19" s="139"/>
      <c r="J19" s="6"/>
    </row>
    <row r="20" spans="2:10" ht="15.75" customHeight="1" x14ac:dyDescent="0.25">
      <c r="B20" s="5"/>
      <c r="C20" s="5"/>
      <c r="D20" s="20"/>
      <c r="E20" s="21" t="s">
        <v>25</v>
      </c>
      <c r="F20" s="21" t="s">
        <v>26</v>
      </c>
      <c r="G20" s="21" t="s">
        <v>27</v>
      </c>
      <c r="H20" s="21" t="s">
        <v>28</v>
      </c>
      <c r="I20" s="118"/>
      <c r="J20" s="6"/>
    </row>
    <row r="21" spans="2:10" ht="15.75" customHeight="1" x14ac:dyDescent="0.25">
      <c r="B21" s="5"/>
      <c r="C21" s="5"/>
      <c r="D21" s="68"/>
      <c r="E21" s="76"/>
      <c r="F21" s="76"/>
      <c r="G21" s="76"/>
      <c r="H21" s="76"/>
      <c r="I21" s="123"/>
      <c r="J21" s="6"/>
    </row>
    <row r="22" spans="2:10" ht="15.75" customHeight="1" x14ac:dyDescent="0.25">
      <c r="B22" s="5"/>
      <c r="C22" s="5"/>
      <c r="D22" s="70" t="s">
        <v>53</v>
      </c>
      <c r="E22" s="81">
        <f>'Question A7'!D11</f>
        <v>1722453.3333333333</v>
      </c>
      <c r="F22" s="81">
        <f>'Question A7'!E11</f>
        <v>312451.39999999997</v>
      </c>
      <c r="G22" s="81">
        <f>'Question A7'!F11</f>
        <v>447632.12</v>
      </c>
      <c r="H22" s="81">
        <f>'Question A7'!G11</f>
        <v>56187</v>
      </c>
      <c r="I22" s="135"/>
      <c r="J22" s="6"/>
    </row>
    <row r="23" spans="2:10" ht="15.75" customHeight="1" x14ac:dyDescent="0.25">
      <c r="B23" s="5"/>
      <c r="C23" s="5"/>
      <c r="D23" s="70" t="s">
        <v>54</v>
      </c>
      <c r="E23" s="81">
        <f>Aramco!K20+Aramco!K21</f>
        <v>104838.39999999999</v>
      </c>
      <c r="F23" s="81">
        <f>Chevron!D18+Chevron!D19</f>
        <v>23339</v>
      </c>
      <c r="G23" s="81">
        <f>Exxon!D18+Exxon!D19</f>
        <v>41193</v>
      </c>
      <c r="H23" s="81">
        <f>Oxy!D18+Oxy!D19</f>
        <v>19835</v>
      </c>
      <c r="I23" s="135"/>
      <c r="J23" s="6"/>
    </row>
    <row r="24" spans="2:10" ht="15.75" customHeight="1" x14ac:dyDescent="0.25">
      <c r="B24" s="5"/>
      <c r="C24" s="5"/>
      <c r="D24" s="70" t="s">
        <v>55</v>
      </c>
      <c r="E24" s="86">
        <f>Aramco!K16</f>
        <v>60279.199999999997</v>
      </c>
      <c r="F24" s="86">
        <f>Chevron!D14</f>
        <v>17678</v>
      </c>
      <c r="G24" s="86">
        <f>Exxon!D14</f>
        <v>29640</v>
      </c>
      <c r="H24" s="86">
        <f>Oxy!D14</f>
        <v>984</v>
      </c>
      <c r="I24" s="135"/>
      <c r="J24" s="6"/>
    </row>
    <row r="25" spans="2:10" ht="15.75" customHeight="1" x14ac:dyDescent="0.25">
      <c r="B25" s="5"/>
      <c r="C25" s="5"/>
      <c r="D25" s="75" t="s">
        <v>56</v>
      </c>
      <c r="E25" s="81">
        <f>E22+E23-E24</f>
        <v>1767012.5333333332</v>
      </c>
      <c r="F25" s="81">
        <f>F22+F23-F24</f>
        <v>318112.39999999997</v>
      </c>
      <c r="G25" s="81">
        <f>G22+G23-G24</f>
        <v>459185.12</v>
      </c>
      <c r="H25" s="81">
        <f>H22+H23-H24</f>
        <v>75038</v>
      </c>
      <c r="I25" s="135"/>
      <c r="J25" s="6"/>
    </row>
    <row r="26" spans="2:10" ht="15.75" customHeight="1" x14ac:dyDescent="0.25">
      <c r="B26" s="5"/>
      <c r="C26" s="5"/>
      <c r="D26" s="70"/>
      <c r="E26" s="111"/>
      <c r="F26" s="111"/>
      <c r="G26" s="111"/>
      <c r="H26" s="111"/>
      <c r="I26" s="135"/>
      <c r="J26" s="6"/>
    </row>
    <row r="27" spans="2:10" ht="15.75" customHeight="1" x14ac:dyDescent="0.25">
      <c r="B27" s="5"/>
      <c r="C27" s="5"/>
      <c r="D27" s="70" t="s">
        <v>133</v>
      </c>
      <c r="E27" s="81">
        <f>Aramco!K11</f>
        <v>305087.2</v>
      </c>
      <c r="F27" s="81">
        <f>Chevron!D9</f>
        <v>54517</v>
      </c>
      <c r="G27" s="81">
        <f>Exxon!D9</f>
        <v>106952</v>
      </c>
      <c r="H27" s="81">
        <f>Oxy!D9</f>
        <v>15674</v>
      </c>
      <c r="I27" s="135"/>
      <c r="J27" s="6"/>
    </row>
    <row r="28" spans="2:10" ht="15.75" customHeight="1" x14ac:dyDescent="0.25">
      <c r="B28" s="5"/>
      <c r="C28" s="5"/>
      <c r="D28" s="70" t="s">
        <v>134</v>
      </c>
      <c r="E28" s="86">
        <f>Aramco!K10</f>
        <v>24431.466666666667</v>
      </c>
      <c r="F28" s="86">
        <f>Chevron!D8</f>
        <v>16319</v>
      </c>
      <c r="G28" s="86">
        <f>Exxon!D8</f>
        <v>24040</v>
      </c>
      <c r="H28" s="86">
        <f>Oxy!D8</f>
        <v>6926</v>
      </c>
      <c r="I28" s="135"/>
      <c r="J28" s="6"/>
    </row>
    <row r="29" spans="2:10" ht="15.75" customHeight="1" x14ac:dyDescent="0.25">
      <c r="B29" s="5"/>
      <c r="C29" s="5"/>
      <c r="D29" s="75" t="s">
        <v>57</v>
      </c>
      <c r="E29" s="81">
        <f>E27+E28</f>
        <v>329518.66666666669</v>
      </c>
      <c r="F29" s="81">
        <f t="shared" ref="F29:H29" si="0">F27+F28</f>
        <v>70836</v>
      </c>
      <c r="G29" s="81">
        <f t="shared" si="0"/>
        <v>130992</v>
      </c>
      <c r="H29" s="81">
        <f t="shared" si="0"/>
        <v>22600</v>
      </c>
      <c r="I29" s="135"/>
      <c r="J29" s="6"/>
    </row>
    <row r="30" spans="2:10" ht="15.75" customHeight="1" x14ac:dyDescent="0.25">
      <c r="B30" s="5"/>
      <c r="C30" s="5"/>
      <c r="D30" s="70"/>
      <c r="E30" s="111"/>
      <c r="F30" s="111"/>
      <c r="G30" s="111"/>
      <c r="H30" s="111"/>
      <c r="I30" s="135"/>
      <c r="J30" s="6"/>
    </row>
    <row r="31" spans="2:10" ht="15.75" customHeight="1" x14ac:dyDescent="0.25">
      <c r="B31" s="5"/>
      <c r="C31" s="5"/>
      <c r="D31" s="143" t="s">
        <v>58</v>
      </c>
      <c r="E31" s="106">
        <f>E25/E29</f>
        <v>5.3624049623895855</v>
      </c>
      <c r="F31" s="106">
        <f>F25/F29</f>
        <v>4.490829521712123</v>
      </c>
      <c r="G31" s="106">
        <f>G25/G29</f>
        <v>3.505443996579944</v>
      </c>
      <c r="H31" s="106">
        <f>H25/H29</f>
        <v>3.3202654867256638</v>
      </c>
      <c r="I31" s="137"/>
      <c r="J31" s="6"/>
    </row>
    <row r="32" spans="2:10" ht="15.75" customHeight="1" thickBot="1" x14ac:dyDescent="0.3">
      <c r="B32" s="5"/>
      <c r="C32" s="14"/>
      <c r="D32" s="132"/>
      <c r="E32" s="140"/>
      <c r="F32" s="140"/>
      <c r="G32" s="140"/>
      <c r="H32" s="140"/>
      <c r="I32" s="141"/>
      <c r="J32" s="6"/>
    </row>
    <row r="33" spans="2:10" ht="15.75" customHeight="1" thickBot="1" x14ac:dyDescent="0.3">
      <c r="B33" s="14"/>
      <c r="C33" s="15"/>
      <c r="D33" s="15"/>
      <c r="E33" s="15"/>
      <c r="F33" s="15"/>
      <c r="G33" s="15"/>
      <c r="H33" s="15"/>
      <c r="I33" s="115"/>
      <c r="J33" s="16"/>
    </row>
  </sheetData>
  <mergeCells count="3">
    <mergeCell ref="C5:I5"/>
    <mergeCell ref="C18:I18"/>
    <mergeCell ref="C3:I3"/>
  </mergeCells>
  <hyperlinks>
    <hyperlink ref="L3" location="'Table of Content'!A1" display="Return to TOC" xr:uid="{EE566A9F-94D2-499C-B5C5-6ABDD24513DA}"/>
  </hyperlinks>
  <pageMargins left="0.2" right="0.2" top="0.25" bottom="0.25" header="0.3" footer="0.3"/>
  <pageSetup scale="93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6D23-FCF9-4ADD-97C8-1B379DE3F042}">
  <sheetPr>
    <tabColor theme="7" tint="0.59999389629810485"/>
    <pageSetUpPr fitToPage="1"/>
  </sheetPr>
  <dimension ref="A1:T71"/>
  <sheetViews>
    <sheetView showGridLines="0" workbookViewId="0">
      <selection activeCell="C3" sqref="C3:Q3"/>
    </sheetView>
  </sheetViews>
  <sheetFormatPr defaultColWidth="12.7109375" defaultRowHeight="15.75" customHeight="1" x14ac:dyDescent="0.25"/>
  <cols>
    <col min="1" max="3" width="2.7109375" style="19" customWidth="1"/>
    <col min="4" max="4" width="40.7109375" style="19" customWidth="1"/>
    <col min="5" max="8" width="12.7109375" style="19"/>
    <col min="9" max="9" width="12.7109375" style="19" customWidth="1"/>
    <col min="10" max="10" width="6.7109375" style="19" customWidth="1"/>
    <col min="11" max="11" width="40.7109375" style="19" customWidth="1"/>
    <col min="12" max="16" width="12.7109375" style="19"/>
    <col min="17" max="17" width="2.7109375" style="112" customWidth="1"/>
    <col min="18" max="19" width="2.7109375" style="19" customWidth="1"/>
    <col min="20" max="20" width="15.7109375" style="19" customWidth="1"/>
    <col min="21" max="16384" width="12.7109375" style="19"/>
  </cols>
  <sheetData>
    <row r="1" spans="1:20" ht="15.75" customHeight="1" thickBot="1" x14ac:dyDescent="0.3"/>
    <row r="2" spans="1:20" ht="15.75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13"/>
      <c r="R2" s="4"/>
    </row>
    <row r="3" spans="1:20" ht="15.75" customHeight="1" x14ac:dyDescent="0.25">
      <c r="B3" s="5"/>
      <c r="C3" s="232" t="s">
        <v>162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6"/>
      <c r="T3" s="51" t="s">
        <v>111</v>
      </c>
    </row>
    <row r="4" spans="1:20" ht="15.75" customHeight="1" thickBot="1" x14ac:dyDescent="0.3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2"/>
      <c r="R4" s="6"/>
    </row>
    <row r="5" spans="1:20" ht="15.75" customHeight="1" thickBot="1" x14ac:dyDescent="0.3">
      <c r="A5" s="1"/>
      <c r="B5" s="5"/>
      <c r="C5" s="245" t="s">
        <v>163</v>
      </c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7"/>
      <c r="R5" s="6"/>
    </row>
    <row r="6" spans="1:20" ht="15.75" customHeight="1" x14ac:dyDescent="0.25">
      <c r="A6" s="1"/>
      <c r="B6" s="5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73"/>
      <c r="R6" s="6"/>
    </row>
    <row r="7" spans="1:20" ht="15.75" customHeight="1" x14ac:dyDescent="0.25">
      <c r="A7" s="1"/>
      <c r="B7" s="5"/>
      <c r="C7" s="5"/>
      <c r="D7" s="237" t="s">
        <v>25</v>
      </c>
      <c r="E7" s="237"/>
      <c r="F7" s="237"/>
      <c r="G7" s="237"/>
      <c r="H7" s="237"/>
      <c r="I7" s="237"/>
      <c r="J7" s="1"/>
      <c r="K7" s="237" t="s">
        <v>27</v>
      </c>
      <c r="L7" s="237"/>
      <c r="M7" s="237"/>
      <c r="N7" s="237"/>
      <c r="O7" s="237"/>
      <c r="P7" s="237"/>
      <c r="Q7" s="172"/>
      <c r="R7" s="6"/>
    </row>
    <row r="8" spans="1:20" ht="15.75" customHeight="1" x14ac:dyDescent="0.25">
      <c r="A8" s="1"/>
      <c r="B8" s="5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74"/>
      <c r="R8" s="6"/>
    </row>
    <row r="9" spans="1:20" ht="15.75" customHeight="1" x14ac:dyDescent="0.25">
      <c r="A9" s="1"/>
      <c r="B9" s="5"/>
      <c r="C9" s="5"/>
      <c r="D9" s="1"/>
      <c r="E9" s="27">
        <v>2022</v>
      </c>
      <c r="F9" s="27">
        <v>2021</v>
      </c>
      <c r="G9" s="27">
        <v>2020</v>
      </c>
      <c r="H9" s="27">
        <v>2019</v>
      </c>
      <c r="I9" s="27">
        <v>2018</v>
      </c>
      <c r="J9" s="1"/>
      <c r="K9" s="1"/>
      <c r="L9" s="27">
        <v>2022</v>
      </c>
      <c r="M9" s="27">
        <v>2021</v>
      </c>
      <c r="N9" s="27">
        <v>2020</v>
      </c>
      <c r="O9" s="27">
        <v>2019</v>
      </c>
      <c r="P9" s="27">
        <v>2018</v>
      </c>
      <c r="Q9" s="175"/>
      <c r="R9" s="90"/>
    </row>
    <row r="10" spans="1:20" ht="15.75" customHeight="1" x14ac:dyDescent="0.25">
      <c r="A10" s="1"/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74"/>
      <c r="R10" s="6"/>
    </row>
    <row r="11" spans="1:20" ht="15.75" customHeight="1" x14ac:dyDescent="0.25">
      <c r="A11" s="1"/>
      <c r="B11" s="5"/>
      <c r="C11" s="5"/>
      <c r="D11" s="23" t="s">
        <v>133</v>
      </c>
      <c r="E11" s="81">
        <f>Aramco!K11</f>
        <v>305087.2</v>
      </c>
      <c r="F11" s="81">
        <f>Aramco!L11</f>
        <v>205844.8</v>
      </c>
      <c r="G11" s="81">
        <f>Aramco!M11</f>
        <v>102229.33333333333</v>
      </c>
      <c r="H11" s="81">
        <f>Aramco!N11</f>
        <v>179965.6</v>
      </c>
      <c r="I11" s="81">
        <f>Aramco!O11</f>
        <v>212908</v>
      </c>
      <c r="J11" s="1"/>
      <c r="K11" s="23" t="s">
        <v>133</v>
      </c>
      <c r="L11" s="81">
        <f>Exxon!D9</f>
        <v>106952</v>
      </c>
      <c r="M11" s="81">
        <f>Exxon!E9</f>
        <v>63206</v>
      </c>
      <c r="N11" s="81">
        <f>Exxon!F9</f>
        <v>-398</v>
      </c>
      <c r="O11" s="81">
        <f>Exxon!G9</f>
        <v>52646</v>
      </c>
      <c r="P11" s="81">
        <f>Exxon!H9</f>
        <v>65667</v>
      </c>
      <c r="Q11" s="135"/>
      <c r="R11" s="91"/>
    </row>
    <row r="12" spans="1:20" ht="15.75" customHeight="1" x14ac:dyDescent="0.25">
      <c r="A12" s="1"/>
      <c r="B12" s="5"/>
      <c r="C12" s="5"/>
      <c r="D12" s="23" t="s">
        <v>172</v>
      </c>
      <c r="E12" s="86">
        <f>Aramco!K9</f>
        <v>604366.1333333333</v>
      </c>
      <c r="F12" s="86">
        <f>Aramco!L9</f>
        <v>400468.8</v>
      </c>
      <c r="G12" s="86">
        <f>Aramco!M9</f>
        <v>229890.93333333332</v>
      </c>
      <c r="H12" s="86">
        <f>Aramco!N9</f>
        <v>329809.33333333331</v>
      </c>
      <c r="I12" s="86">
        <f>Aramco!O9</f>
        <v>359204.53333333333</v>
      </c>
      <c r="J12" s="1"/>
      <c r="K12" s="23" t="s">
        <v>172</v>
      </c>
      <c r="L12" s="86">
        <f>Exxon!D7</f>
        <v>413680</v>
      </c>
      <c r="M12" s="86">
        <f>Exxon!E7</f>
        <v>285640</v>
      </c>
      <c r="N12" s="86">
        <f>Exxon!F7</f>
        <v>181502</v>
      </c>
      <c r="O12" s="86">
        <f>Exxon!G7</f>
        <v>264938</v>
      </c>
      <c r="P12" s="86">
        <f>Exxon!H7</f>
        <v>290212</v>
      </c>
      <c r="Q12" s="135"/>
      <c r="R12" s="6"/>
    </row>
    <row r="13" spans="1:20" ht="15.75" customHeight="1" x14ac:dyDescent="0.25">
      <c r="A13" s="1"/>
      <c r="B13" s="5"/>
      <c r="C13" s="5"/>
      <c r="D13" s="27" t="s">
        <v>163</v>
      </c>
      <c r="E13" s="96">
        <f>E11/E12</f>
        <v>0.50480525491611494</v>
      </c>
      <c r="F13" s="96">
        <f t="shared" ref="F13:I13" si="0">F11/F12</f>
        <v>0.51400958077133596</v>
      </c>
      <c r="G13" s="96">
        <f t="shared" si="0"/>
        <v>0.44468623381986355</v>
      </c>
      <c r="H13" s="96">
        <f t="shared" si="0"/>
        <v>0.54566557647448832</v>
      </c>
      <c r="I13" s="96">
        <f t="shared" si="0"/>
        <v>0.59272080456297138</v>
      </c>
      <c r="J13" s="1"/>
      <c r="K13" s="27" t="s">
        <v>163</v>
      </c>
      <c r="L13" s="96">
        <f>L11/L12</f>
        <v>0.25853800038677238</v>
      </c>
      <c r="M13" s="96">
        <f t="shared" ref="M13:P13" si="1">M11/M12</f>
        <v>0.22127853241842879</v>
      </c>
      <c r="N13" s="96">
        <f t="shared" si="1"/>
        <v>-2.1928133023327565E-3</v>
      </c>
      <c r="O13" s="96">
        <f t="shared" si="1"/>
        <v>0.19871064173504743</v>
      </c>
      <c r="P13" s="96">
        <f t="shared" si="1"/>
        <v>0.22627251802130857</v>
      </c>
      <c r="Q13" s="176"/>
      <c r="R13" s="92"/>
    </row>
    <row r="14" spans="1:20" ht="15.75" customHeight="1" x14ac:dyDescent="0.25">
      <c r="A14" s="1"/>
      <c r="B14" s="5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74"/>
      <c r="R14" s="6"/>
    </row>
    <row r="15" spans="1:20" ht="15.75" customHeight="1" x14ac:dyDescent="0.25">
      <c r="A15" s="1"/>
      <c r="B15" s="5"/>
      <c r="C15" s="5"/>
      <c r="D15" s="237" t="s">
        <v>26</v>
      </c>
      <c r="E15" s="237"/>
      <c r="F15" s="237"/>
      <c r="G15" s="237"/>
      <c r="H15" s="237"/>
      <c r="I15" s="237"/>
      <c r="J15" s="1"/>
      <c r="K15" s="237" t="s">
        <v>28</v>
      </c>
      <c r="L15" s="237"/>
      <c r="M15" s="237"/>
      <c r="N15" s="237"/>
      <c r="O15" s="237"/>
      <c r="P15" s="237"/>
      <c r="Q15" s="172"/>
      <c r="R15" s="6"/>
    </row>
    <row r="16" spans="1:20" ht="15.75" customHeight="1" x14ac:dyDescent="0.25">
      <c r="A16" s="1"/>
      <c r="B16" s="5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74"/>
      <c r="R16" s="6"/>
    </row>
    <row r="17" spans="1:18" ht="15.75" customHeight="1" x14ac:dyDescent="0.25">
      <c r="A17" s="1"/>
      <c r="B17" s="5"/>
      <c r="C17" s="5"/>
      <c r="D17" s="1"/>
      <c r="E17" s="27">
        <v>2022</v>
      </c>
      <c r="F17" s="27">
        <v>2021</v>
      </c>
      <c r="G17" s="27">
        <v>2020</v>
      </c>
      <c r="H17" s="27">
        <v>2019</v>
      </c>
      <c r="I17" s="27">
        <v>2018</v>
      </c>
      <c r="J17" s="1"/>
      <c r="K17" s="1"/>
      <c r="L17" s="27">
        <v>2022</v>
      </c>
      <c r="M17" s="27">
        <v>2021</v>
      </c>
      <c r="N17" s="27">
        <v>2020</v>
      </c>
      <c r="O17" s="27">
        <v>2019</v>
      </c>
      <c r="P17" s="27">
        <v>2018</v>
      </c>
      <c r="Q17" s="175"/>
      <c r="R17" s="90"/>
    </row>
    <row r="18" spans="1:18" ht="15.75" customHeight="1" x14ac:dyDescent="0.25">
      <c r="A18" s="1"/>
      <c r="B18" s="5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74"/>
      <c r="R18" s="6"/>
    </row>
    <row r="19" spans="1:18" ht="15.75" customHeight="1" x14ac:dyDescent="0.25">
      <c r="A19" s="1"/>
      <c r="B19" s="5"/>
      <c r="C19" s="5"/>
      <c r="D19" s="23" t="s">
        <v>133</v>
      </c>
      <c r="E19" s="81">
        <f>Chevron!D9</f>
        <v>54517</v>
      </c>
      <c r="F19" s="81">
        <f>Chevron!E9</f>
        <v>27002</v>
      </c>
      <c r="G19" s="81">
        <f>Chevron!F9</f>
        <v>-3037</v>
      </c>
      <c r="H19" s="81">
        <f>Chevron!G9</f>
        <v>10887</v>
      </c>
      <c r="I19" s="81">
        <f>Chevron!H9</f>
        <v>26750</v>
      </c>
      <c r="J19" s="1"/>
      <c r="K19" s="23" t="s">
        <v>133</v>
      </c>
      <c r="L19" s="81">
        <f>Oxy!D9</f>
        <v>15674</v>
      </c>
      <c r="M19" s="81">
        <f>Oxy!E9</f>
        <v>6029</v>
      </c>
      <c r="N19" s="81">
        <f>Oxy!F9</f>
        <v>-2184</v>
      </c>
      <c r="O19" s="81">
        <f>Oxy!G9</f>
        <v>4662</v>
      </c>
      <c r="P19" s="81">
        <f>Oxy!H9</f>
        <v>6666</v>
      </c>
      <c r="Q19" s="135"/>
      <c r="R19" s="91"/>
    </row>
    <row r="20" spans="1:18" ht="15.75" customHeight="1" x14ac:dyDescent="0.25">
      <c r="A20" s="1"/>
      <c r="B20" s="5"/>
      <c r="C20" s="5"/>
      <c r="D20" s="23" t="s">
        <v>172</v>
      </c>
      <c r="E20" s="86">
        <f>Chevron!D7</f>
        <v>246252</v>
      </c>
      <c r="F20" s="86">
        <f>Chevron!E7</f>
        <v>162465</v>
      </c>
      <c r="G20" s="86">
        <f>Chevron!F7</f>
        <v>94692</v>
      </c>
      <c r="H20" s="86">
        <f>Chevron!G7</f>
        <v>146516</v>
      </c>
      <c r="I20" s="86">
        <f>Chevron!H7</f>
        <v>166339</v>
      </c>
      <c r="J20" s="1"/>
      <c r="K20" s="23" t="s">
        <v>172</v>
      </c>
      <c r="L20" s="86">
        <f>Oxy!D7</f>
        <v>37095</v>
      </c>
      <c r="M20" s="86">
        <f>Oxy!E7</f>
        <v>26314</v>
      </c>
      <c r="N20" s="86">
        <f>Oxy!F7</f>
        <v>16261</v>
      </c>
      <c r="O20" s="86">
        <f>Oxy!G7</f>
        <v>21750</v>
      </c>
      <c r="P20" s="86">
        <f>Oxy!H7</f>
        <v>18934</v>
      </c>
      <c r="Q20" s="135"/>
      <c r="R20" s="6"/>
    </row>
    <row r="21" spans="1:18" s="1" customFormat="1" ht="15.75" customHeight="1" x14ac:dyDescent="0.25">
      <c r="B21" s="5"/>
      <c r="C21" s="5"/>
      <c r="D21" s="27" t="s">
        <v>163</v>
      </c>
      <c r="E21" s="96">
        <f>E19/E20</f>
        <v>0.22138703442002503</v>
      </c>
      <c r="F21" s="96">
        <f t="shared" ref="F21:I21" si="2">F19/F20</f>
        <v>0.16620195118948697</v>
      </c>
      <c r="G21" s="96">
        <f t="shared" si="2"/>
        <v>-3.2072403159717822E-2</v>
      </c>
      <c r="H21" s="96">
        <f t="shared" si="2"/>
        <v>7.4305877856343336E-2</v>
      </c>
      <c r="I21" s="96">
        <f t="shared" si="2"/>
        <v>0.16081616457956341</v>
      </c>
      <c r="K21" s="27" t="s">
        <v>163</v>
      </c>
      <c r="L21" s="96">
        <f>L19/L20</f>
        <v>0.42253673001752257</v>
      </c>
      <c r="M21" s="96">
        <f t="shared" ref="M21:P21" si="3">M19/M20</f>
        <v>0.22911757999543969</v>
      </c>
      <c r="N21" s="96">
        <f t="shared" si="3"/>
        <v>-0.13430908308222125</v>
      </c>
      <c r="O21" s="96">
        <f t="shared" si="3"/>
        <v>0.2143448275862069</v>
      </c>
      <c r="P21" s="96">
        <f t="shared" si="3"/>
        <v>0.35206506813140381</v>
      </c>
      <c r="Q21" s="176"/>
      <c r="R21" s="92"/>
    </row>
    <row r="22" spans="1:18" ht="15.75" customHeight="1" thickBot="1" x14ac:dyDescent="0.3">
      <c r="A22" s="1"/>
      <c r="B22" s="5"/>
      <c r="C22" s="14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49"/>
      <c r="R22" s="6"/>
    </row>
    <row r="23" spans="1:18" ht="15.75" customHeight="1" thickBot="1" x14ac:dyDescent="0.3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2"/>
      <c r="R23" s="6"/>
    </row>
    <row r="24" spans="1:18" ht="15.75" customHeight="1" thickBot="1" x14ac:dyDescent="0.3">
      <c r="B24" s="5"/>
      <c r="C24" s="245" t="s">
        <v>164</v>
      </c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7"/>
      <c r="R24" s="6"/>
    </row>
    <row r="25" spans="1:18" ht="15.75" customHeight="1" x14ac:dyDescent="0.25">
      <c r="B25" s="5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73"/>
      <c r="R25" s="6"/>
    </row>
    <row r="26" spans="1:18" ht="15.75" customHeight="1" x14ac:dyDescent="0.25">
      <c r="B26" s="5"/>
      <c r="C26" s="5"/>
      <c r="D26" s="237" t="s">
        <v>25</v>
      </c>
      <c r="E26" s="237"/>
      <c r="F26" s="237"/>
      <c r="G26" s="237"/>
      <c r="H26" s="237"/>
      <c r="I26" s="237"/>
      <c r="J26" s="1"/>
      <c r="K26" s="237" t="s">
        <v>27</v>
      </c>
      <c r="L26" s="237"/>
      <c r="M26" s="237"/>
      <c r="N26" s="237"/>
      <c r="O26" s="237"/>
      <c r="P26" s="237"/>
      <c r="Q26" s="172"/>
      <c r="R26" s="6"/>
    </row>
    <row r="27" spans="1:18" ht="15.75" customHeight="1" x14ac:dyDescent="0.25">
      <c r="B27" s="5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74"/>
      <c r="R27" s="6"/>
    </row>
    <row r="28" spans="1:18" ht="15.75" customHeight="1" x14ac:dyDescent="0.25">
      <c r="B28" s="5"/>
      <c r="C28" s="5"/>
      <c r="D28" s="20"/>
      <c r="E28" s="27">
        <v>2022</v>
      </c>
      <c r="F28" s="27">
        <v>2021</v>
      </c>
      <c r="G28" s="27">
        <v>2020</v>
      </c>
      <c r="H28" s="27">
        <v>2019</v>
      </c>
      <c r="I28" s="27">
        <v>2018</v>
      </c>
      <c r="J28" s="1"/>
      <c r="K28" s="20"/>
      <c r="L28" s="27">
        <v>2022</v>
      </c>
      <c r="M28" s="27">
        <v>2021</v>
      </c>
      <c r="N28" s="27">
        <v>2020</v>
      </c>
      <c r="O28" s="27">
        <v>2019</v>
      </c>
      <c r="P28" s="27">
        <v>2018</v>
      </c>
      <c r="Q28" s="175"/>
      <c r="R28" s="6"/>
    </row>
    <row r="29" spans="1:18" ht="15.75" customHeight="1" x14ac:dyDescent="0.25">
      <c r="B29" s="5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74"/>
      <c r="R29" s="6"/>
    </row>
    <row r="30" spans="1:18" ht="15.75" customHeight="1" x14ac:dyDescent="0.25">
      <c r="B30" s="5"/>
      <c r="C30" s="5"/>
      <c r="D30" s="23" t="s">
        <v>133</v>
      </c>
      <c r="E30" s="81">
        <f>E11</f>
        <v>305087.2</v>
      </c>
      <c r="F30" s="81">
        <f t="shared" ref="F30:I30" si="4">F11</f>
        <v>205844.8</v>
      </c>
      <c r="G30" s="81">
        <f t="shared" si="4"/>
        <v>102229.33333333333</v>
      </c>
      <c r="H30" s="81">
        <f t="shared" si="4"/>
        <v>179965.6</v>
      </c>
      <c r="I30" s="81">
        <f t="shared" si="4"/>
        <v>212908</v>
      </c>
      <c r="J30" s="1"/>
      <c r="K30" s="23" t="s">
        <v>133</v>
      </c>
      <c r="L30" s="81">
        <f>L11</f>
        <v>106952</v>
      </c>
      <c r="M30" s="81">
        <f t="shared" ref="M30:P30" si="5">M11</f>
        <v>63206</v>
      </c>
      <c r="N30" s="81">
        <f t="shared" si="5"/>
        <v>-398</v>
      </c>
      <c r="O30" s="81">
        <f t="shared" si="5"/>
        <v>52646</v>
      </c>
      <c r="P30" s="81">
        <f t="shared" si="5"/>
        <v>65667</v>
      </c>
      <c r="Q30" s="135"/>
      <c r="R30" s="6"/>
    </row>
    <row r="31" spans="1:18" ht="15.75" customHeight="1" x14ac:dyDescent="0.25">
      <c r="B31" s="5"/>
      <c r="C31" s="5"/>
      <c r="D31" s="23" t="s">
        <v>173</v>
      </c>
      <c r="E31" s="86">
        <f>Aramco!K12</f>
        <v>2368.5333333333333</v>
      </c>
      <c r="F31" s="86">
        <f>Aramco!L12</f>
        <v>3215.4666666666667</v>
      </c>
      <c r="G31" s="86">
        <f>Aramco!M12</f>
        <v>2817.0666666666666</v>
      </c>
      <c r="H31" s="86">
        <f>Aramco!N12</f>
        <v>1606.9333333333334</v>
      </c>
      <c r="I31" s="86">
        <f>Aramco!O12</f>
        <v>789.06666666666672</v>
      </c>
      <c r="J31" s="1"/>
      <c r="K31" s="23" t="s">
        <v>173</v>
      </c>
      <c r="L31" s="86">
        <f>Exxon!D10</f>
        <v>798</v>
      </c>
      <c r="M31" s="86">
        <f>Exxon!E10</f>
        <v>947</v>
      </c>
      <c r="N31" s="86">
        <f>Exxon!F10</f>
        <v>1158</v>
      </c>
      <c r="O31" s="86">
        <f>Exxon!G10</f>
        <v>830</v>
      </c>
      <c r="P31" s="86">
        <f>Exxon!H10</f>
        <v>766</v>
      </c>
      <c r="Q31" s="135"/>
      <c r="R31" s="6"/>
    </row>
    <row r="32" spans="1:18" ht="15.75" customHeight="1" x14ac:dyDescent="0.25">
      <c r="B32" s="5"/>
      <c r="C32" s="5"/>
      <c r="D32" s="231" t="s">
        <v>164</v>
      </c>
      <c r="E32" s="178">
        <f>E30/E31</f>
        <v>128.80848907903626</v>
      </c>
      <c r="F32" s="178">
        <f t="shared" ref="F32:I32" si="6">F30/F31</f>
        <v>64.017084093547851</v>
      </c>
      <c r="G32" s="178">
        <f t="shared" si="6"/>
        <v>36.289284361984095</v>
      </c>
      <c r="H32" s="178">
        <f t="shared" si="6"/>
        <v>111.9931961500166</v>
      </c>
      <c r="I32" s="178">
        <f t="shared" si="6"/>
        <v>269.82257519432238</v>
      </c>
      <c r="J32" s="1"/>
      <c r="K32" s="231" t="s">
        <v>164</v>
      </c>
      <c r="L32" s="178">
        <f>L30/L31</f>
        <v>134.02506265664161</v>
      </c>
      <c r="M32" s="178">
        <f t="shared" ref="M32" si="7">M30/M31</f>
        <v>66.743400211193247</v>
      </c>
      <c r="N32" s="178">
        <f t="shared" ref="N32" si="8">N30/N31</f>
        <v>-0.34369602763385149</v>
      </c>
      <c r="O32" s="178">
        <f t="shared" ref="O32" si="9">O30/O31</f>
        <v>63.428915662650603</v>
      </c>
      <c r="P32" s="178">
        <f t="shared" ref="P32" si="10">P30/P31</f>
        <v>85.727154046997384</v>
      </c>
      <c r="Q32" s="176"/>
      <c r="R32" s="6"/>
    </row>
    <row r="33" spans="2:18" ht="15.75" customHeight="1" x14ac:dyDescent="0.25">
      <c r="B33" s="5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74"/>
      <c r="R33" s="6"/>
    </row>
    <row r="34" spans="2:18" ht="15.75" customHeight="1" x14ac:dyDescent="0.25">
      <c r="B34" s="5"/>
      <c r="C34" s="5"/>
      <c r="D34" s="237" t="s">
        <v>26</v>
      </c>
      <c r="E34" s="237"/>
      <c r="F34" s="237"/>
      <c r="G34" s="237"/>
      <c r="H34" s="237"/>
      <c r="I34" s="237"/>
      <c r="J34" s="1"/>
      <c r="K34" s="237" t="s">
        <v>28</v>
      </c>
      <c r="L34" s="237"/>
      <c r="M34" s="237"/>
      <c r="N34" s="237"/>
      <c r="O34" s="237"/>
      <c r="P34" s="237"/>
      <c r="Q34" s="172"/>
      <c r="R34" s="6"/>
    </row>
    <row r="35" spans="2:18" ht="15.75" customHeight="1" x14ac:dyDescent="0.25">
      <c r="B35" s="5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74"/>
      <c r="R35" s="6"/>
    </row>
    <row r="36" spans="2:18" ht="15.75" customHeight="1" x14ac:dyDescent="0.25">
      <c r="B36" s="5"/>
      <c r="C36" s="5"/>
      <c r="D36" s="1"/>
      <c r="E36" s="27">
        <v>2022</v>
      </c>
      <c r="F36" s="27">
        <v>2021</v>
      </c>
      <c r="G36" s="27">
        <v>2020</v>
      </c>
      <c r="H36" s="27">
        <v>2019</v>
      </c>
      <c r="I36" s="27">
        <v>2018</v>
      </c>
      <c r="J36" s="1"/>
      <c r="K36" s="1"/>
      <c r="L36" s="27">
        <v>2022</v>
      </c>
      <c r="M36" s="27">
        <v>2021</v>
      </c>
      <c r="N36" s="27">
        <v>2020</v>
      </c>
      <c r="O36" s="27">
        <v>2019</v>
      </c>
      <c r="P36" s="27">
        <v>2018</v>
      </c>
      <c r="Q36" s="175"/>
      <c r="R36" s="6"/>
    </row>
    <row r="37" spans="2:18" ht="15.75" customHeight="1" x14ac:dyDescent="0.25">
      <c r="B37" s="5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74"/>
      <c r="R37" s="6"/>
    </row>
    <row r="38" spans="2:18" ht="15.75" customHeight="1" x14ac:dyDescent="0.25">
      <c r="B38" s="5"/>
      <c r="C38" s="5"/>
      <c r="D38" s="23" t="s">
        <v>133</v>
      </c>
      <c r="E38" s="81">
        <f>E19</f>
        <v>54517</v>
      </c>
      <c r="F38" s="81">
        <f t="shared" ref="F38:I38" si="11">F19</f>
        <v>27002</v>
      </c>
      <c r="G38" s="81">
        <f t="shared" si="11"/>
        <v>-3037</v>
      </c>
      <c r="H38" s="81">
        <f t="shared" si="11"/>
        <v>10887</v>
      </c>
      <c r="I38" s="81">
        <f t="shared" si="11"/>
        <v>26750</v>
      </c>
      <c r="J38" s="1"/>
      <c r="K38" s="23" t="s">
        <v>133</v>
      </c>
      <c r="L38" s="81">
        <f>L19</f>
        <v>15674</v>
      </c>
      <c r="M38" s="81">
        <f t="shared" ref="M38:P38" si="12">M19</f>
        <v>6029</v>
      </c>
      <c r="N38" s="81">
        <f t="shared" si="12"/>
        <v>-2184</v>
      </c>
      <c r="O38" s="81">
        <f t="shared" si="12"/>
        <v>4662</v>
      </c>
      <c r="P38" s="81">
        <f t="shared" si="12"/>
        <v>6666</v>
      </c>
      <c r="Q38" s="135"/>
      <c r="R38" s="6"/>
    </row>
    <row r="39" spans="2:18" ht="15.75" customHeight="1" x14ac:dyDescent="0.25">
      <c r="B39" s="5"/>
      <c r="C39" s="5"/>
      <c r="D39" s="23" t="s">
        <v>173</v>
      </c>
      <c r="E39" s="86">
        <f>Chevron!D10</f>
        <v>476</v>
      </c>
      <c r="F39" s="86">
        <f>Chevron!E10</f>
        <v>662</v>
      </c>
      <c r="G39" s="86">
        <f>Chevron!F10</f>
        <v>658</v>
      </c>
      <c r="H39" s="86">
        <f>Chevron!G10</f>
        <v>761</v>
      </c>
      <c r="I39" s="86">
        <f>Chevron!H10</f>
        <v>713</v>
      </c>
      <c r="J39" s="1"/>
      <c r="K39" s="23" t="s">
        <v>173</v>
      </c>
      <c r="L39" s="86">
        <f>Oxy!D10</f>
        <v>1030</v>
      </c>
      <c r="M39" s="86">
        <f>Oxy!E10</f>
        <v>1614</v>
      </c>
      <c r="N39" s="86">
        <f>Oxy!F10</f>
        <v>1424</v>
      </c>
      <c r="O39" s="86">
        <f>Oxy!G10</f>
        <v>1066</v>
      </c>
      <c r="P39" s="86">
        <f>Oxy!H10</f>
        <v>389</v>
      </c>
      <c r="Q39" s="135"/>
      <c r="R39" s="6"/>
    </row>
    <row r="40" spans="2:18" ht="15.75" customHeight="1" x14ac:dyDescent="0.25">
      <c r="B40" s="5"/>
      <c r="C40" s="5"/>
      <c r="D40" s="231" t="s">
        <v>164</v>
      </c>
      <c r="E40" s="178">
        <f>E38/E39</f>
        <v>114.53151260504201</v>
      </c>
      <c r="F40" s="178">
        <f t="shared" ref="F40" si="13">F38/F39</f>
        <v>40.788519637462237</v>
      </c>
      <c r="G40" s="178">
        <f t="shared" ref="G40" si="14">G38/G39</f>
        <v>-4.6155015197568385</v>
      </c>
      <c r="H40" s="178">
        <f t="shared" ref="H40" si="15">H38/H39</f>
        <v>14.306176084099869</v>
      </c>
      <c r="I40" s="178">
        <f t="shared" ref="I40" si="16">I38/I39</f>
        <v>37.517531556802247</v>
      </c>
      <c r="J40" s="1"/>
      <c r="K40" s="231" t="s">
        <v>164</v>
      </c>
      <c r="L40" s="178">
        <f>L38/L39</f>
        <v>15.217475728155339</v>
      </c>
      <c r="M40" s="178">
        <f t="shared" ref="M40" si="17">M38/M39</f>
        <v>3.73543990086741</v>
      </c>
      <c r="N40" s="178">
        <f t="shared" ref="N40" si="18">N38/N39</f>
        <v>-1.5337078651685394</v>
      </c>
      <c r="O40" s="178">
        <f t="shared" ref="O40" si="19">O38/O39</f>
        <v>4.3733583489681047</v>
      </c>
      <c r="P40" s="178">
        <f t="shared" ref="P40" si="20">P38/P39</f>
        <v>17.136246786632391</v>
      </c>
      <c r="Q40" s="176"/>
      <c r="R40" s="6"/>
    </row>
    <row r="41" spans="2:18" ht="15.75" customHeight="1" thickBot="1" x14ac:dyDescent="0.3">
      <c r="B41" s="5"/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49"/>
      <c r="R41" s="6"/>
    </row>
    <row r="42" spans="2:18" ht="15.75" customHeight="1" thickBot="1" x14ac:dyDescent="0.3"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2"/>
      <c r="R42" s="6"/>
    </row>
    <row r="43" spans="2:18" ht="15.75" customHeight="1" thickBot="1" x14ac:dyDescent="0.3">
      <c r="B43" s="5"/>
      <c r="C43" s="245" t="s">
        <v>165</v>
      </c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7"/>
      <c r="R43" s="6"/>
    </row>
    <row r="44" spans="2:18" ht="15.75" customHeight="1" x14ac:dyDescent="0.25">
      <c r="B44" s="5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73"/>
      <c r="R44" s="6"/>
    </row>
    <row r="45" spans="2:18" ht="15.75" customHeight="1" x14ac:dyDescent="0.25">
      <c r="B45" s="5"/>
      <c r="C45" s="5"/>
      <c r="D45" s="237" t="s">
        <v>25</v>
      </c>
      <c r="E45" s="237"/>
      <c r="F45" s="237"/>
      <c r="G45" s="237"/>
      <c r="H45" s="237"/>
      <c r="I45" s="237"/>
      <c r="J45" s="1"/>
      <c r="K45" s="237" t="s">
        <v>27</v>
      </c>
      <c r="L45" s="237"/>
      <c r="M45" s="237"/>
      <c r="N45" s="237"/>
      <c r="O45" s="237"/>
      <c r="P45" s="237"/>
      <c r="Q45" s="172"/>
      <c r="R45" s="6"/>
    </row>
    <row r="46" spans="2:18" ht="15.75" customHeight="1" x14ac:dyDescent="0.25">
      <c r="B46" s="5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74"/>
      <c r="R46" s="6"/>
    </row>
    <row r="47" spans="2:18" ht="15.75" customHeight="1" x14ac:dyDescent="0.25">
      <c r="B47" s="5"/>
      <c r="C47" s="5"/>
      <c r="D47" s="20"/>
      <c r="E47" s="27">
        <v>2022</v>
      </c>
      <c r="F47" s="27">
        <v>2021</v>
      </c>
      <c r="G47" s="27">
        <v>2020</v>
      </c>
      <c r="H47" s="27">
        <v>2019</v>
      </c>
      <c r="I47" s="27">
        <v>2018</v>
      </c>
      <c r="J47" s="1"/>
      <c r="K47" s="20"/>
      <c r="L47" s="27">
        <v>2022</v>
      </c>
      <c r="M47" s="27">
        <v>2021</v>
      </c>
      <c r="N47" s="27">
        <v>2020</v>
      </c>
      <c r="O47" s="27">
        <v>2019</v>
      </c>
      <c r="P47" s="27">
        <v>2018</v>
      </c>
      <c r="Q47" s="175"/>
      <c r="R47" s="6"/>
    </row>
    <row r="48" spans="2:18" ht="15.75" customHeight="1" x14ac:dyDescent="0.25">
      <c r="B48" s="5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74"/>
      <c r="R48" s="6"/>
    </row>
    <row r="49" spans="2:18" ht="15.75" customHeight="1" x14ac:dyDescent="0.25">
      <c r="B49" s="5"/>
      <c r="C49" s="5"/>
      <c r="D49" s="179" t="s">
        <v>174</v>
      </c>
      <c r="E49" s="81">
        <f>Aramco!K20</f>
        <v>19937.066666666666</v>
      </c>
      <c r="F49" s="81">
        <f>Aramco!L20</f>
        <v>19880</v>
      </c>
      <c r="G49" s="81">
        <f>Aramco!M20</f>
        <v>26441.866666666665</v>
      </c>
      <c r="H49" s="81">
        <f>Aramco!N20</f>
        <v>6638.666666666667</v>
      </c>
      <c r="I49" s="81">
        <f>Aramco!O20</f>
        <v>7997.0666666666666</v>
      </c>
      <c r="J49" s="1"/>
      <c r="K49" s="179" t="s">
        <v>174</v>
      </c>
      <c r="L49" s="81">
        <f>Exxon!D18</f>
        <v>634</v>
      </c>
      <c r="M49" s="81">
        <f>Exxon!E18</f>
        <v>4276</v>
      </c>
      <c r="N49" s="81">
        <f>Exxon!F18</f>
        <v>20458</v>
      </c>
      <c r="O49" s="81">
        <f>Exxon!G18</f>
        <v>20578</v>
      </c>
      <c r="P49" s="81">
        <f>Exxon!H18</f>
        <v>17258</v>
      </c>
      <c r="Q49" s="174"/>
      <c r="R49" s="6"/>
    </row>
    <row r="50" spans="2:18" ht="15.75" customHeight="1" x14ac:dyDescent="0.25">
      <c r="B50" s="5"/>
      <c r="C50" s="5"/>
      <c r="D50" s="179" t="s">
        <v>175</v>
      </c>
      <c r="E50" s="81">
        <f>Aramco!K21</f>
        <v>84901.333333333328</v>
      </c>
      <c r="F50" s="81">
        <f>Aramco!L21</f>
        <v>116365.6</v>
      </c>
      <c r="G50" s="81">
        <f>Aramco!M21</f>
        <v>116512</v>
      </c>
      <c r="H50" s="81">
        <f>Aramco!N21</f>
        <v>40184</v>
      </c>
      <c r="I50" s="81">
        <f>Aramco!O21</f>
        <v>19021.066666666666</v>
      </c>
      <c r="J50" s="1"/>
      <c r="K50" s="179" t="s">
        <v>175</v>
      </c>
      <c r="L50" s="81">
        <f>Exxon!D19</f>
        <v>40559</v>
      </c>
      <c r="M50" s="81">
        <f>Exxon!E19</f>
        <v>43428</v>
      </c>
      <c r="N50" s="81">
        <f>Exxon!F19</f>
        <v>47182</v>
      </c>
      <c r="O50" s="81">
        <f>Exxon!G19</f>
        <v>26342</v>
      </c>
      <c r="P50" s="81">
        <f>Exxon!H19</f>
        <v>20538</v>
      </c>
      <c r="Q50" s="174"/>
      <c r="R50" s="6"/>
    </row>
    <row r="51" spans="2:18" ht="15.75" customHeight="1" x14ac:dyDescent="0.25">
      <c r="B51" s="5"/>
      <c r="C51" s="5"/>
      <c r="D51" s="179" t="s">
        <v>55</v>
      </c>
      <c r="E51" s="86">
        <f>Aramco!K16</f>
        <v>60279.199999999997</v>
      </c>
      <c r="F51" s="86">
        <f>Aramco!L16</f>
        <v>79887.733333333337</v>
      </c>
      <c r="G51" s="86">
        <f>Aramco!M16</f>
        <v>55261.866666666669</v>
      </c>
      <c r="H51" s="86">
        <f>Aramco!N16</f>
        <v>47388.26666666667</v>
      </c>
      <c r="I51" s="86">
        <f>Aramco!O16</f>
        <v>48840.533333333333</v>
      </c>
      <c r="J51" s="1"/>
      <c r="K51" s="179" t="s">
        <v>55</v>
      </c>
      <c r="L51" s="86">
        <f>Exxon!D14</f>
        <v>29640</v>
      </c>
      <c r="M51" s="86">
        <f>Exxon!E14</f>
        <v>6802</v>
      </c>
      <c r="N51" s="86">
        <f>Exxon!F14</f>
        <v>4364</v>
      </c>
      <c r="O51" s="86">
        <f>Exxon!G14</f>
        <v>3089</v>
      </c>
      <c r="P51" s="86">
        <f>Exxon!H14</f>
        <v>3042</v>
      </c>
      <c r="Q51" s="174"/>
      <c r="R51" s="6"/>
    </row>
    <row r="52" spans="2:18" ht="15.75" customHeight="1" x14ac:dyDescent="0.25">
      <c r="B52" s="5"/>
      <c r="C52" s="5"/>
      <c r="D52" s="23" t="s">
        <v>176</v>
      </c>
      <c r="E52" s="81">
        <f>E49+E50-E51</f>
        <v>44559.199999999997</v>
      </c>
      <c r="F52" s="81">
        <f t="shared" ref="F52:I52" si="21">F49+F50-F51</f>
        <v>56357.866666666669</v>
      </c>
      <c r="G52" s="81">
        <f t="shared" si="21"/>
        <v>87692</v>
      </c>
      <c r="H52" s="81">
        <f t="shared" si="21"/>
        <v>-565.60000000000582</v>
      </c>
      <c r="I52" s="81">
        <f t="shared" si="21"/>
        <v>-21822.400000000001</v>
      </c>
      <c r="J52" s="1"/>
      <c r="K52" s="23" t="s">
        <v>176</v>
      </c>
      <c r="L52" s="81">
        <f>L49+L50-L51</f>
        <v>11553</v>
      </c>
      <c r="M52" s="81">
        <f t="shared" ref="M52:P52" si="22">M49+M50-M51</f>
        <v>40902</v>
      </c>
      <c r="N52" s="81">
        <f t="shared" si="22"/>
        <v>63276</v>
      </c>
      <c r="O52" s="81">
        <f t="shared" si="22"/>
        <v>43831</v>
      </c>
      <c r="P52" s="81">
        <f t="shared" si="22"/>
        <v>34754</v>
      </c>
      <c r="Q52" s="135"/>
      <c r="R52" s="6"/>
    </row>
    <row r="53" spans="2:18" ht="15.75" customHeight="1" x14ac:dyDescent="0.25">
      <c r="B53" s="5"/>
      <c r="C53" s="5"/>
      <c r="D53" s="179" t="s">
        <v>133</v>
      </c>
      <c r="E53" s="81">
        <f>E11</f>
        <v>305087.2</v>
      </c>
      <c r="F53" s="81">
        <f t="shared" ref="F53:I53" si="23">F11</f>
        <v>205844.8</v>
      </c>
      <c r="G53" s="81">
        <f t="shared" si="23"/>
        <v>102229.33333333333</v>
      </c>
      <c r="H53" s="81">
        <f t="shared" si="23"/>
        <v>179965.6</v>
      </c>
      <c r="I53" s="81">
        <f t="shared" si="23"/>
        <v>212908</v>
      </c>
      <c r="J53" s="1"/>
      <c r="K53" s="179" t="s">
        <v>133</v>
      </c>
      <c r="L53" s="81">
        <f>L11</f>
        <v>106952</v>
      </c>
      <c r="M53" s="81">
        <f t="shared" ref="M53:P53" si="24">M11</f>
        <v>63206</v>
      </c>
      <c r="N53" s="81">
        <f t="shared" si="24"/>
        <v>-398</v>
      </c>
      <c r="O53" s="81">
        <f t="shared" si="24"/>
        <v>52646</v>
      </c>
      <c r="P53" s="81">
        <f t="shared" si="24"/>
        <v>65667</v>
      </c>
      <c r="Q53" s="135"/>
      <c r="R53" s="6"/>
    </row>
    <row r="54" spans="2:18" ht="15.75" customHeight="1" x14ac:dyDescent="0.25">
      <c r="B54" s="5"/>
      <c r="C54" s="5"/>
      <c r="D54" s="179" t="s">
        <v>134</v>
      </c>
      <c r="E54" s="86">
        <f>Aramco!K10</f>
        <v>24431.466666666667</v>
      </c>
      <c r="F54" s="86">
        <f>Aramco!L10</f>
        <v>22805.599999999999</v>
      </c>
      <c r="G54" s="86">
        <f>Aramco!M10</f>
        <v>20322.133333333335</v>
      </c>
      <c r="H54" s="86">
        <f>Aramco!N10</f>
        <v>13404.266666666666</v>
      </c>
      <c r="I54" s="86">
        <f>Aramco!O10</f>
        <v>11022.4</v>
      </c>
      <c r="J54" s="1"/>
      <c r="K54" s="179" t="s">
        <v>134</v>
      </c>
      <c r="L54" s="86">
        <f>Exxon!D8</f>
        <v>24040</v>
      </c>
      <c r="M54" s="86">
        <f>Exxon!E8</f>
        <v>20607</v>
      </c>
      <c r="N54" s="86">
        <f>Exxon!F8</f>
        <v>25756</v>
      </c>
      <c r="O54" s="86">
        <f>Exxon!G8</f>
        <v>18998</v>
      </c>
      <c r="P54" s="86">
        <f>Exxon!H8</f>
        <v>18745</v>
      </c>
      <c r="Q54" s="135"/>
      <c r="R54" s="6"/>
    </row>
    <row r="55" spans="2:18" ht="15.75" customHeight="1" x14ac:dyDescent="0.25">
      <c r="B55" s="5"/>
      <c r="C55" s="5"/>
      <c r="D55" s="23" t="s">
        <v>57</v>
      </c>
      <c r="E55" s="86">
        <f>E53+E54</f>
        <v>329518.66666666669</v>
      </c>
      <c r="F55" s="86">
        <f t="shared" ref="F55:I55" si="25">F53+F54</f>
        <v>228650.4</v>
      </c>
      <c r="G55" s="86">
        <f t="shared" si="25"/>
        <v>122551.46666666666</v>
      </c>
      <c r="H55" s="86">
        <f t="shared" si="25"/>
        <v>193369.86666666667</v>
      </c>
      <c r="I55" s="86">
        <f t="shared" si="25"/>
        <v>223930.4</v>
      </c>
      <c r="J55" s="1"/>
      <c r="K55" s="23" t="s">
        <v>57</v>
      </c>
      <c r="L55" s="86">
        <f>L53+L54</f>
        <v>130992</v>
      </c>
      <c r="M55" s="86">
        <f t="shared" ref="M55:P55" si="26">M53+M54</f>
        <v>83813</v>
      </c>
      <c r="N55" s="86">
        <f t="shared" si="26"/>
        <v>25358</v>
      </c>
      <c r="O55" s="86">
        <f t="shared" si="26"/>
        <v>71644</v>
      </c>
      <c r="P55" s="86">
        <f t="shared" si="26"/>
        <v>84412</v>
      </c>
      <c r="Q55" s="135"/>
      <c r="R55" s="6"/>
    </row>
    <row r="56" spans="2:18" ht="15.75" customHeight="1" x14ac:dyDescent="0.25">
      <c r="B56" s="5"/>
      <c r="C56" s="5"/>
      <c r="D56" s="27" t="s">
        <v>165</v>
      </c>
      <c r="E56" s="177">
        <f>E52/E55</f>
        <v>0.13522511623013767</v>
      </c>
      <c r="F56" s="177">
        <f t="shared" ref="F56:I56" si="27">F52/F55</f>
        <v>0.24648050765127316</v>
      </c>
      <c r="G56" s="177">
        <f t="shared" si="27"/>
        <v>0.71555243184904083</v>
      </c>
      <c r="H56" s="177">
        <f t="shared" si="27"/>
        <v>-2.9249645239451606E-3</v>
      </c>
      <c r="I56" s="177">
        <f t="shared" si="27"/>
        <v>-9.7451708209336477E-2</v>
      </c>
      <c r="J56" s="1"/>
      <c r="K56" s="27" t="s">
        <v>165</v>
      </c>
      <c r="L56" s="177">
        <f>L52/L55</f>
        <v>8.8196225723708319E-2</v>
      </c>
      <c r="M56" s="177">
        <f t="shared" ref="M56:P56" si="28">M52/M55</f>
        <v>0.48801498574206864</v>
      </c>
      <c r="N56" s="177">
        <f t="shared" si="28"/>
        <v>2.4953072008833503</v>
      </c>
      <c r="O56" s="177">
        <f t="shared" si="28"/>
        <v>0.61178884484395069</v>
      </c>
      <c r="P56" s="177">
        <f t="shared" si="28"/>
        <v>0.41171871297919727</v>
      </c>
      <c r="Q56" s="176"/>
      <c r="R56" s="6"/>
    </row>
    <row r="57" spans="2:18" ht="15.75" customHeight="1" x14ac:dyDescent="0.25">
      <c r="B57" s="5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74"/>
      <c r="R57" s="6"/>
    </row>
    <row r="58" spans="2:18" ht="15.75" customHeight="1" x14ac:dyDescent="0.25">
      <c r="B58" s="5"/>
      <c r="C58" s="5"/>
      <c r="D58" s="237" t="s">
        <v>26</v>
      </c>
      <c r="E58" s="237"/>
      <c r="F58" s="237"/>
      <c r="G58" s="237"/>
      <c r="H58" s="237"/>
      <c r="I58" s="237"/>
      <c r="J58" s="1"/>
      <c r="K58" s="237" t="s">
        <v>28</v>
      </c>
      <c r="L58" s="237"/>
      <c r="M58" s="237"/>
      <c r="N58" s="237"/>
      <c r="O58" s="237"/>
      <c r="P58" s="237"/>
      <c r="Q58" s="172"/>
      <c r="R58" s="6"/>
    </row>
    <row r="59" spans="2:18" ht="15.75" customHeight="1" x14ac:dyDescent="0.25">
      <c r="B59" s="5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74"/>
      <c r="R59" s="6"/>
    </row>
    <row r="60" spans="2:18" ht="15.75" customHeight="1" x14ac:dyDescent="0.25">
      <c r="B60" s="5"/>
      <c r="C60" s="5"/>
      <c r="D60" s="20"/>
      <c r="E60" s="27">
        <v>2022</v>
      </c>
      <c r="F60" s="27">
        <v>2021</v>
      </c>
      <c r="G60" s="27">
        <v>2020</v>
      </c>
      <c r="H60" s="27">
        <v>2019</v>
      </c>
      <c r="I60" s="27">
        <v>2018</v>
      </c>
      <c r="J60" s="1"/>
      <c r="K60" s="20"/>
      <c r="L60" s="27">
        <v>2022</v>
      </c>
      <c r="M60" s="27">
        <v>2021</v>
      </c>
      <c r="N60" s="27">
        <v>2020</v>
      </c>
      <c r="O60" s="27">
        <v>2019</v>
      </c>
      <c r="P60" s="27">
        <v>2018</v>
      </c>
      <c r="Q60" s="175"/>
      <c r="R60" s="6"/>
    </row>
    <row r="61" spans="2:18" ht="15.75" customHeight="1" x14ac:dyDescent="0.25">
      <c r="B61" s="5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74"/>
      <c r="R61" s="6"/>
    </row>
    <row r="62" spans="2:18" ht="15.75" customHeight="1" x14ac:dyDescent="0.25">
      <c r="B62" s="5"/>
      <c r="C62" s="5"/>
      <c r="D62" s="179" t="s">
        <v>174</v>
      </c>
      <c r="E62" s="81">
        <f>Chevron!D18</f>
        <v>1964</v>
      </c>
      <c r="F62" s="81">
        <f>Chevron!E18</f>
        <v>256</v>
      </c>
      <c r="G62" s="81">
        <f>Chevron!F18</f>
        <v>1548</v>
      </c>
      <c r="H62" s="81">
        <f>Chevron!G18</f>
        <v>3282</v>
      </c>
      <c r="I62" s="81">
        <f>Chevron!H18</f>
        <v>5726</v>
      </c>
      <c r="J62" s="1"/>
      <c r="K62" s="179" t="s">
        <v>174</v>
      </c>
      <c r="L62" s="81">
        <f>Oxy!D18</f>
        <v>165</v>
      </c>
      <c r="M62" s="81">
        <f>Oxy!E18</f>
        <v>186</v>
      </c>
      <c r="N62" s="81">
        <f>Oxy!F18</f>
        <v>440</v>
      </c>
      <c r="O62" s="81">
        <f>Oxy!G18</f>
        <v>51</v>
      </c>
      <c r="P62" s="81">
        <f>Oxy!H18</f>
        <v>116</v>
      </c>
      <c r="Q62" s="174"/>
      <c r="R62" s="6"/>
    </row>
    <row r="63" spans="2:18" ht="15.75" customHeight="1" x14ac:dyDescent="0.25">
      <c r="B63" s="5"/>
      <c r="C63" s="5"/>
      <c r="D63" s="179" t="s">
        <v>175</v>
      </c>
      <c r="E63" s="81">
        <f>Chevron!D19</f>
        <v>21375</v>
      </c>
      <c r="F63" s="81">
        <f>Chevron!E19</f>
        <v>31113</v>
      </c>
      <c r="G63" s="81">
        <f>Chevron!F19</f>
        <v>42767</v>
      </c>
      <c r="H63" s="81">
        <f>Chevron!G19</f>
        <v>23691</v>
      </c>
      <c r="I63" s="81">
        <f>Chevron!H19</f>
        <v>28733</v>
      </c>
      <c r="J63" s="1"/>
      <c r="K63" s="179" t="s">
        <v>175</v>
      </c>
      <c r="L63" s="81">
        <f>Oxy!D19</f>
        <v>19670</v>
      </c>
      <c r="M63" s="81">
        <f>Oxy!E19</f>
        <v>29431</v>
      </c>
      <c r="N63" s="81">
        <f>Oxy!F19</f>
        <v>35745</v>
      </c>
      <c r="O63" s="81">
        <f>Oxy!G19</f>
        <v>38537</v>
      </c>
      <c r="P63" s="81">
        <f>Oxy!H19</f>
        <v>10201</v>
      </c>
      <c r="Q63" s="174"/>
      <c r="R63" s="6"/>
    </row>
    <row r="64" spans="2:18" ht="15.75" customHeight="1" x14ac:dyDescent="0.25">
      <c r="B64" s="5"/>
      <c r="C64" s="5"/>
      <c r="D64" s="179" t="s">
        <v>55</v>
      </c>
      <c r="E64" s="86">
        <f>Chevron!D14</f>
        <v>17678</v>
      </c>
      <c r="F64" s="86">
        <f>Chevron!E14</f>
        <v>5640</v>
      </c>
      <c r="G64" s="86">
        <f>Chevron!F14</f>
        <v>5596</v>
      </c>
      <c r="H64" s="86">
        <f>Chevron!G14</f>
        <v>5686</v>
      </c>
      <c r="I64" s="86">
        <f>Chevron!H14</f>
        <v>9342</v>
      </c>
      <c r="J64" s="1"/>
      <c r="K64" s="179" t="s">
        <v>55</v>
      </c>
      <c r="L64" s="86">
        <f>Oxy!D14</f>
        <v>984</v>
      </c>
      <c r="M64" s="86">
        <f>Oxy!E14</f>
        <v>2764</v>
      </c>
      <c r="N64" s="86">
        <f>Oxy!F14</f>
        <v>2008</v>
      </c>
      <c r="O64" s="86">
        <f>Oxy!G14</f>
        <v>3032</v>
      </c>
      <c r="P64" s="86">
        <f>Oxy!H14</f>
        <v>3033</v>
      </c>
      <c r="Q64" s="174"/>
      <c r="R64" s="6"/>
    </row>
    <row r="65" spans="2:18" ht="15.75" customHeight="1" x14ac:dyDescent="0.25">
      <c r="B65" s="5"/>
      <c r="C65" s="5"/>
      <c r="D65" s="23" t="s">
        <v>176</v>
      </c>
      <c r="E65" s="81">
        <f>E62+E63-E64</f>
        <v>5661</v>
      </c>
      <c r="F65" s="81">
        <f t="shared" ref="F65:I65" si="29">F62+F63-F64</f>
        <v>25729</v>
      </c>
      <c r="G65" s="81">
        <f t="shared" si="29"/>
        <v>38719</v>
      </c>
      <c r="H65" s="81">
        <f t="shared" si="29"/>
        <v>21287</v>
      </c>
      <c r="I65" s="81">
        <f t="shared" si="29"/>
        <v>25117</v>
      </c>
      <c r="J65" s="1"/>
      <c r="K65" s="23" t="s">
        <v>176</v>
      </c>
      <c r="L65" s="81">
        <f>L62+L63-L64</f>
        <v>18851</v>
      </c>
      <c r="M65" s="81">
        <f t="shared" ref="M65:P65" si="30">M62+M63-M64</f>
        <v>26853</v>
      </c>
      <c r="N65" s="81">
        <f t="shared" si="30"/>
        <v>34177</v>
      </c>
      <c r="O65" s="81">
        <f t="shared" si="30"/>
        <v>35556</v>
      </c>
      <c r="P65" s="81">
        <f t="shared" si="30"/>
        <v>7284</v>
      </c>
      <c r="Q65" s="174"/>
      <c r="R65" s="6"/>
    </row>
    <row r="66" spans="2:18" ht="15.75" customHeight="1" x14ac:dyDescent="0.25">
      <c r="B66" s="5"/>
      <c r="C66" s="5"/>
      <c r="D66" s="179" t="s">
        <v>133</v>
      </c>
      <c r="E66" s="81">
        <f>E19</f>
        <v>54517</v>
      </c>
      <c r="F66" s="81">
        <f t="shared" ref="F66:I66" si="31">F19</f>
        <v>27002</v>
      </c>
      <c r="G66" s="81">
        <f t="shared" si="31"/>
        <v>-3037</v>
      </c>
      <c r="H66" s="81">
        <f t="shared" si="31"/>
        <v>10887</v>
      </c>
      <c r="I66" s="81">
        <f t="shared" si="31"/>
        <v>26750</v>
      </c>
      <c r="J66" s="1"/>
      <c r="K66" s="179" t="s">
        <v>133</v>
      </c>
      <c r="L66" s="81">
        <f>L19</f>
        <v>15674</v>
      </c>
      <c r="M66" s="81">
        <f t="shared" ref="M66:P66" si="32">M19</f>
        <v>6029</v>
      </c>
      <c r="N66" s="81">
        <f t="shared" si="32"/>
        <v>-2184</v>
      </c>
      <c r="O66" s="81">
        <f t="shared" si="32"/>
        <v>4662</v>
      </c>
      <c r="P66" s="81">
        <f t="shared" si="32"/>
        <v>6666</v>
      </c>
      <c r="Q66" s="174"/>
      <c r="R66" s="6"/>
    </row>
    <row r="67" spans="2:18" ht="15.75" customHeight="1" x14ac:dyDescent="0.25">
      <c r="B67" s="5"/>
      <c r="C67" s="5"/>
      <c r="D67" s="179" t="s">
        <v>134</v>
      </c>
      <c r="E67" s="86">
        <f>Chevron!D8</f>
        <v>16319</v>
      </c>
      <c r="F67" s="86">
        <f>Chevron!E8</f>
        <v>17925</v>
      </c>
      <c r="G67" s="86">
        <f>Chevron!F8</f>
        <v>19508</v>
      </c>
      <c r="H67" s="86">
        <f>Chevron!G8</f>
        <v>29218</v>
      </c>
      <c r="I67" s="86">
        <f>Chevron!H8</f>
        <v>19419</v>
      </c>
      <c r="J67" s="1"/>
      <c r="K67" s="179" t="s">
        <v>134</v>
      </c>
      <c r="L67" s="86">
        <f>Oxy!D8</f>
        <v>6926</v>
      </c>
      <c r="M67" s="86">
        <f>Oxy!E8</f>
        <v>8447</v>
      </c>
      <c r="N67" s="86">
        <f>Oxy!F8</f>
        <v>8097</v>
      </c>
      <c r="O67" s="86">
        <f>Oxy!G8</f>
        <v>6140</v>
      </c>
      <c r="P67" s="86">
        <f>Oxy!H8</f>
        <v>3977</v>
      </c>
      <c r="Q67" s="174"/>
      <c r="R67" s="6"/>
    </row>
    <row r="68" spans="2:18" ht="15.75" customHeight="1" x14ac:dyDescent="0.25">
      <c r="B68" s="5"/>
      <c r="C68" s="5"/>
      <c r="D68" s="23" t="s">
        <v>57</v>
      </c>
      <c r="E68" s="86">
        <f>E66+E67</f>
        <v>70836</v>
      </c>
      <c r="F68" s="86">
        <f t="shared" ref="F68:I68" si="33">F66+F67</f>
        <v>44927</v>
      </c>
      <c r="G68" s="86">
        <f t="shared" si="33"/>
        <v>16471</v>
      </c>
      <c r="H68" s="86">
        <f t="shared" si="33"/>
        <v>40105</v>
      </c>
      <c r="I68" s="86">
        <f t="shared" si="33"/>
        <v>46169</v>
      </c>
      <c r="J68" s="1"/>
      <c r="K68" s="23" t="s">
        <v>57</v>
      </c>
      <c r="L68" s="86">
        <f>L66+L67</f>
        <v>22600</v>
      </c>
      <c r="M68" s="86">
        <f t="shared" ref="M68:P68" si="34">M66+M67</f>
        <v>14476</v>
      </c>
      <c r="N68" s="86">
        <f t="shared" si="34"/>
        <v>5913</v>
      </c>
      <c r="O68" s="86">
        <f t="shared" si="34"/>
        <v>10802</v>
      </c>
      <c r="P68" s="86">
        <f t="shared" si="34"/>
        <v>10643</v>
      </c>
      <c r="Q68" s="174"/>
      <c r="R68" s="6"/>
    </row>
    <row r="69" spans="2:18" ht="15.75" customHeight="1" x14ac:dyDescent="0.25">
      <c r="B69" s="5"/>
      <c r="C69" s="5"/>
      <c r="D69" s="27" t="s">
        <v>165</v>
      </c>
      <c r="E69" s="177">
        <f>E65/E68</f>
        <v>7.9916991360325262E-2</v>
      </c>
      <c r="F69" s="177">
        <f t="shared" ref="F69:I69" si="35">F65/F68</f>
        <v>0.57268457720301824</v>
      </c>
      <c r="G69" s="177">
        <f t="shared" si="35"/>
        <v>2.3507376601299255</v>
      </c>
      <c r="H69" s="177">
        <f t="shared" si="35"/>
        <v>0.53078169804263808</v>
      </c>
      <c r="I69" s="177">
        <f t="shared" si="35"/>
        <v>0.54402304576663996</v>
      </c>
      <c r="J69" s="1"/>
      <c r="K69" s="27" t="s">
        <v>165</v>
      </c>
      <c r="L69" s="177">
        <f>L65/L68</f>
        <v>0.8341150442477876</v>
      </c>
      <c r="M69" s="177">
        <f t="shared" ref="M69:P69" si="36">M65/M68</f>
        <v>1.8550013815971262</v>
      </c>
      <c r="N69" s="177">
        <f t="shared" si="36"/>
        <v>5.779976323355319</v>
      </c>
      <c r="O69" s="177">
        <f t="shared" si="36"/>
        <v>3.2916126643214221</v>
      </c>
      <c r="P69" s="177">
        <f t="shared" si="36"/>
        <v>0.6843934980738513</v>
      </c>
      <c r="Q69" s="174"/>
      <c r="R69" s="6"/>
    </row>
    <row r="70" spans="2:18" ht="15.75" customHeight="1" thickBot="1" x14ac:dyDescent="0.3">
      <c r="B70" s="5"/>
      <c r="C70" s="14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49"/>
      <c r="R70" s="6"/>
    </row>
    <row r="71" spans="2:18" ht="15.75" customHeight="1" thickBot="1" x14ac:dyDescent="0.3"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15"/>
      <c r="R71" s="16"/>
    </row>
  </sheetData>
  <mergeCells count="16">
    <mergeCell ref="D58:I58"/>
    <mergeCell ref="K58:P58"/>
    <mergeCell ref="C3:Q3"/>
    <mergeCell ref="K26:P26"/>
    <mergeCell ref="D34:I34"/>
    <mergeCell ref="K34:P34"/>
    <mergeCell ref="C43:Q43"/>
    <mergeCell ref="D45:I45"/>
    <mergeCell ref="K45:P45"/>
    <mergeCell ref="C5:Q5"/>
    <mergeCell ref="C24:Q24"/>
    <mergeCell ref="D26:I26"/>
    <mergeCell ref="D7:I7"/>
    <mergeCell ref="K7:P7"/>
    <mergeCell ref="D15:I15"/>
    <mergeCell ref="K15:P15"/>
  </mergeCells>
  <hyperlinks>
    <hyperlink ref="T3" location="'Table of Content'!A1" display="Return to TOC" xr:uid="{15542174-1D0E-4DE3-9B6B-1AB230F39D16}"/>
  </hyperlinks>
  <pageMargins left="0.2" right="0.2" top="0.25" bottom="0.25" header="0.3" footer="0.3"/>
  <pageSetup scale="53" orientation="landscape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3F05-808C-46DD-A791-3C90B01707B4}">
  <sheetPr>
    <tabColor theme="7" tint="0.59999389629810485"/>
    <pageSetUpPr fitToPage="1"/>
  </sheetPr>
  <dimension ref="A1:K69"/>
  <sheetViews>
    <sheetView showGridLines="0" workbookViewId="0">
      <selection activeCell="C3" sqref="C3:H3"/>
    </sheetView>
  </sheetViews>
  <sheetFormatPr defaultColWidth="12.7109375" defaultRowHeight="15.75" customHeight="1" x14ac:dyDescent="0.25"/>
  <cols>
    <col min="1" max="3" width="2.7109375" style="19" customWidth="1"/>
    <col min="4" max="4" width="38.7109375" style="19" customWidth="1"/>
    <col min="5" max="7" width="20.7109375" style="19" customWidth="1"/>
    <col min="8" max="10" width="2.7109375" style="19" customWidth="1"/>
    <col min="11" max="11" width="15.7109375" style="19" customWidth="1"/>
    <col min="12" max="16384" width="12.7109375" style="19"/>
  </cols>
  <sheetData>
    <row r="1" spans="1:11" ht="15.75" customHeight="1" thickBot="1" x14ac:dyDescent="0.3">
      <c r="A1" s="32"/>
      <c r="B1" s="32"/>
      <c r="C1" s="32"/>
    </row>
    <row r="2" spans="1:11" ht="15.75" customHeight="1" x14ac:dyDescent="0.25">
      <c r="A2" s="32"/>
      <c r="B2" s="195"/>
      <c r="C2" s="113"/>
      <c r="D2" s="3"/>
      <c r="E2" s="3"/>
      <c r="F2" s="3"/>
      <c r="G2" s="3"/>
      <c r="H2" s="3"/>
      <c r="I2" s="4"/>
    </row>
    <row r="3" spans="1:11" ht="15.75" customHeight="1" x14ac:dyDescent="0.25">
      <c r="A3" s="32"/>
      <c r="B3" s="196"/>
      <c r="C3" s="232" t="s">
        <v>195</v>
      </c>
      <c r="D3" s="232"/>
      <c r="E3" s="232"/>
      <c r="F3" s="232"/>
      <c r="G3" s="232"/>
      <c r="H3" s="232"/>
      <c r="I3" s="6"/>
      <c r="K3" s="51" t="s">
        <v>111</v>
      </c>
    </row>
    <row r="4" spans="1:11" ht="15.75" customHeight="1" x14ac:dyDescent="0.25">
      <c r="A4" s="32"/>
      <c r="B4" s="196"/>
      <c r="C4" s="32"/>
      <c r="D4" s="1"/>
      <c r="E4" s="1"/>
      <c r="F4" s="1"/>
      <c r="G4" s="1"/>
      <c r="H4" s="1"/>
      <c r="I4" s="6"/>
    </row>
    <row r="5" spans="1:11" ht="15.75" customHeight="1" x14ac:dyDescent="0.25">
      <c r="A5" s="32"/>
      <c r="B5" s="196"/>
      <c r="C5" s="32"/>
      <c r="D5" s="1" t="s">
        <v>63</v>
      </c>
      <c r="E5" s="81"/>
      <c r="F5" s="1"/>
      <c r="G5" s="1"/>
      <c r="H5" s="1"/>
      <c r="I5" s="6"/>
    </row>
    <row r="6" spans="1:11" ht="15.75" customHeight="1" x14ac:dyDescent="0.25">
      <c r="A6" s="32"/>
      <c r="B6" s="196"/>
      <c r="C6" s="32"/>
      <c r="D6" s="1" t="s">
        <v>64</v>
      </c>
      <c r="E6" s="184"/>
      <c r="F6" s="1"/>
      <c r="G6" s="1"/>
      <c r="H6" s="1"/>
      <c r="I6" s="6"/>
    </row>
    <row r="7" spans="1:11" ht="15.75" customHeight="1" x14ac:dyDescent="0.25">
      <c r="A7" s="32"/>
      <c r="B7" s="196"/>
      <c r="C7" s="32"/>
      <c r="D7" s="207" t="s">
        <v>155</v>
      </c>
      <c r="E7" s="185"/>
      <c r="F7" s="1"/>
      <c r="G7" s="1"/>
      <c r="H7" s="1"/>
      <c r="I7" s="6"/>
    </row>
    <row r="8" spans="1:11" ht="15.75" customHeight="1" x14ac:dyDescent="0.25">
      <c r="A8" s="32"/>
      <c r="B8" s="196"/>
      <c r="C8" s="32"/>
      <c r="D8" s="1" t="s">
        <v>65</v>
      </c>
      <c r="E8" s="1"/>
      <c r="F8" s="1"/>
      <c r="G8" s="1"/>
      <c r="H8" s="1"/>
      <c r="I8" s="6"/>
    </row>
    <row r="9" spans="1:11" ht="15.75" customHeight="1" x14ac:dyDescent="0.25">
      <c r="A9" s="32"/>
      <c r="B9" s="196"/>
      <c r="C9" s="32"/>
      <c r="D9" s="181">
        <f>'Exhibit B4'!D7</f>
        <v>42178</v>
      </c>
      <c r="E9" s="87"/>
      <c r="F9" s="1"/>
      <c r="G9" s="1"/>
      <c r="H9" s="1"/>
      <c r="I9" s="6"/>
    </row>
    <row r="10" spans="1:11" ht="15.75" customHeight="1" x14ac:dyDescent="0.25">
      <c r="A10" s="32"/>
      <c r="B10" s="196"/>
      <c r="C10" s="32"/>
      <c r="D10" s="181">
        <v>44910</v>
      </c>
      <c r="E10" s="87"/>
      <c r="F10" s="1"/>
      <c r="G10" s="1"/>
      <c r="H10" s="1"/>
      <c r="I10" s="6"/>
    </row>
    <row r="11" spans="1:11" ht="15.75" customHeight="1" x14ac:dyDescent="0.25">
      <c r="A11" s="32"/>
      <c r="B11" s="196"/>
      <c r="C11" s="32"/>
      <c r="D11" s="181">
        <v>45019</v>
      </c>
      <c r="E11" s="87"/>
      <c r="F11" s="1"/>
      <c r="G11" s="1"/>
      <c r="H11" s="1"/>
      <c r="I11" s="6"/>
    </row>
    <row r="12" spans="1:11" ht="15.75" customHeight="1" thickBot="1" x14ac:dyDescent="0.3">
      <c r="A12" s="32"/>
      <c r="B12" s="196"/>
      <c r="C12" s="32"/>
      <c r="D12" s="186"/>
      <c r="E12" s="32"/>
      <c r="F12" s="32"/>
      <c r="G12" s="32"/>
      <c r="H12" s="32"/>
      <c r="I12" s="174"/>
      <c r="J12" s="112"/>
      <c r="K12" s="112"/>
    </row>
    <row r="13" spans="1:11" ht="15.75" customHeight="1" thickBot="1" x14ac:dyDescent="0.3">
      <c r="A13" s="32"/>
      <c r="B13" s="196"/>
      <c r="C13" s="248" t="s">
        <v>194</v>
      </c>
      <c r="D13" s="249"/>
      <c r="E13" s="249"/>
      <c r="F13" s="249"/>
      <c r="G13" s="249"/>
      <c r="H13" s="250"/>
      <c r="I13" s="174"/>
      <c r="J13" s="112"/>
      <c r="K13" s="112"/>
    </row>
    <row r="14" spans="1:11" ht="15.75" customHeight="1" x14ac:dyDescent="0.25">
      <c r="A14" s="32"/>
      <c r="B14" s="196"/>
      <c r="C14" s="254"/>
      <c r="D14" s="255"/>
      <c r="E14" s="255"/>
      <c r="F14" s="255"/>
      <c r="G14" s="255"/>
      <c r="H14" s="256"/>
      <c r="I14" s="174"/>
      <c r="J14" s="112"/>
      <c r="K14" s="112"/>
    </row>
    <row r="15" spans="1:11" ht="15.75" customHeight="1" x14ac:dyDescent="0.25">
      <c r="A15" s="32"/>
      <c r="B15" s="196"/>
      <c r="C15" s="196"/>
      <c r="D15" s="187"/>
      <c r="E15" s="188" t="s">
        <v>66</v>
      </c>
      <c r="F15" s="188" t="s">
        <v>67</v>
      </c>
      <c r="G15" s="188" t="s">
        <v>68</v>
      </c>
      <c r="H15" s="118"/>
      <c r="I15" s="174"/>
      <c r="J15" s="112"/>
      <c r="K15" s="112"/>
    </row>
    <row r="16" spans="1:11" ht="15.75" customHeight="1" x14ac:dyDescent="0.25">
      <c r="A16" s="32"/>
      <c r="B16" s="196"/>
      <c r="C16" s="196"/>
      <c r="D16" s="32"/>
      <c r="E16" s="189"/>
      <c r="F16" s="189"/>
      <c r="G16" s="190"/>
      <c r="H16" s="199"/>
      <c r="I16" s="174"/>
      <c r="J16" s="112"/>
      <c r="K16" s="112"/>
    </row>
    <row r="17" spans="1:11" ht="15.75" customHeight="1" x14ac:dyDescent="0.25">
      <c r="A17" s="32"/>
      <c r="B17" s="196"/>
      <c r="C17" s="196"/>
      <c r="D17" s="180">
        <v>42353</v>
      </c>
      <c r="E17" s="226"/>
      <c r="F17" s="191"/>
      <c r="G17" s="226"/>
      <c r="H17" s="200"/>
      <c r="I17" s="174"/>
      <c r="J17" s="112"/>
      <c r="K17" s="112"/>
    </row>
    <row r="18" spans="1:11" ht="15.75" customHeight="1" x14ac:dyDescent="0.25">
      <c r="A18" s="32"/>
      <c r="B18" s="196"/>
      <c r="C18" s="196"/>
      <c r="D18" s="180">
        <f>EDATE(D17,6)</f>
        <v>42536</v>
      </c>
      <c r="E18" s="226"/>
      <c r="F18" s="191"/>
      <c r="G18" s="226"/>
      <c r="H18" s="200"/>
      <c r="I18" s="174"/>
      <c r="J18" s="112"/>
      <c r="K18" s="112"/>
    </row>
    <row r="19" spans="1:11" ht="15.75" customHeight="1" x14ac:dyDescent="0.25">
      <c r="A19" s="32"/>
      <c r="B19" s="196"/>
      <c r="C19" s="196"/>
      <c r="D19" s="180">
        <f t="shared" ref="D19:D36" si="0">EDATE(D18,6)</f>
        <v>42719</v>
      </c>
      <c r="E19" s="226"/>
      <c r="F19" s="191"/>
      <c r="G19" s="226"/>
      <c r="H19" s="200"/>
      <c r="I19" s="174"/>
      <c r="J19" s="112"/>
      <c r="K19" s="112"/>
    </row>
    <row r="20" spans="1:11" ht="15.75" customHeight="1" x14ac:dyDescent="0.25">
      <c r="A20" s="32"/>
      <c r="B20" s="196"/>
      <c r="C20" s="196"/>
      <c r="D20" s="180">
        <f t="shared" si="0"/>
        <v>42901</v>
      </c>
      <c r="E20" s="226"/>
      <c r="F20" s="191"/>
      <c r="G20" s="226"/>
      <c r="H20" s="200"/>
      <c r="I20" s="174"/>
      <c r="J20" s="112"/>
      <c r="K20" s="112"/>
    </row>
    <row r="21" spans="1:11" ht="15.75" customHeight="1" x14ac:dyDescent="0.25">
      <c r="A21" s="32"/>
      <c r="B21" s="196"/>
      <c r="C21" s="196"/>
      <c r="D21" s="180">
        <f t="shared" si="0"/>
        <v>43084</v>
      </c>
      <c r="E21" s="226"/>
      <c r="F21" s="191"/>
      <c r="G21" s="226"/>
      <c r="H21" s="200"/>
      <c r="I21" s="174"/>
      <c r="J21" s="112"/>
      <c r="K21" s="112"/>
    </row>
    <row r="22" spans="1:11" ht="15.75" customHeight="1" x14ac:dyDescent="0.25">
      <c r="A22" s="32"/>
      <c r="B22" s="196"/>
      <c r="C22" s="196"/>
      <c r="D22" s="180">
        <f t="shared" si="0"/>
        <v>43266</v>
      </c>
      <c r="E22" s="226"/>
      <c r="F22" s="191"/>
      <c r="G22" s="226"/>
      <c r="H22" s="200"/>
      <c r="I22" s="174"/>
      <c r="J22" s="112"/>
      <c r="K22" s="112"/>
    </row>
    <row r="23" spans="1:11" ht="15.75" customHeight="1" x14ac:dyDescent="0.25">
      <c r="A23" s="32"/>
      <c r="B23" s="196"/>
      <c r="C23" s="196"/>
      <c r="D23" s="180">
        <f t="shared" si="0"/>
        <v>43449</v>
      </c>
      <c r="E23" s="226"/>
      <c r="F23" s="191"/>
      <c r="G23" s="226"/>
      <c r="H23" s="200"/>
      <c r="I23" s="174"/>
      <c r="J23" s="112"/>
      <c r="K23" s="112"/>
    </row>
    <row r="24" spans="1:11" ht="15.75" customHeight="1" x14ac:dyDescent="0.25">
      <c r="A24" s="32"/>
      <c r="B24" s="196"/>
      <c r="C24" s="196"/>
      <c r="D24" s="180">
        <f t="shared" si="0"/>
        <v>43631</v>
      </c>
      <c r="E24" s="226"/>
      <c r="F24" s="191"/>
      <c r="G24" s="226"/>
      <c r="H24" s="200"/>
      <c r="I24" s="174"/>
      <c r="J24" s="112"/>
      <c r="K24" s="112"/>
    </row>
    <row r="25" spans="1:11" ht="15.75" customHeight="1" x14ac:dyDescent="0.25">
      <c r="A25" s="32"/>
      <c r="B25" s="196"/>
      <c r="C25" s="196"/>
      <c r="D25" s="180">
        <f t="shared" si="0"/>
        <v>43814</v>
      </c>
      <c r="E25" s="226"/>
      <c r="F25" s="191"/>
      <c r="G25" s="226"/>
      <c r="H25" s="200"/>
      <c r="I25" s="174"/>
      <c r="J25" s="112"/>
      <c r="K25" s="112"/>
    </row>
    <row r="26" spans="1:11" ht="15.75" customHeight="1" x14ac:dyDescent="0.25">
      <c r="A26" s="32"/>
      <c r="B26" s="196"/>
      <c r="C26" s="196"/>
      <c r="D26" s="180">
        <f t="shared" si="0"/>
        <v>43997</v>
      </c>
      <c r="E26" s="226"/>
      <c r="F26" s="191"/>
      <c r="G26" s="226"/>
      <c r="H26" s="200"/>
      <c r="I26" s="174"/>
      <c r="J26" s="112"/>
      <c r="K26" s="112"/>
    </row>
    <row r="27" spans="1:11" ht="15.75" customHeight="1" x14ac:dyDescent="0.25">
      <c r="A27" s="32"/>
      <c r="B27" s="196"/>
      <c r="C27" s="196"/>
      <c r="D27" s="180">
        <f t="shared" si="0"/>
        <v>44180</v>
      </c>
      <c r="E27" s="226"/>
      <c r="F27" s="191"/>
      <c r="G27" s="226"/>
      <c r="H27" s="200"/>
      <c r="I27" s="174"/>
      <c r="J27" s="112"/>
      <c r="K27" s="112"/>
    </row>
    <row r="28" spans="1:11" ht="15.75" customHeight="1" x14ac:dyDescent="0.25">
      <c r="A28" s="32"/>
      <c r="B28" s="196"/>
      <c r="C28" s="196"/>
      <c r="D28" s="180">
        <f t="shared" si="0"/>
        <v>44362</v>
      </c>
      <c r="E28" s="226"/>
      <c r="F28" s="191"/>
      <c r="G28" s="226"/>
      <c r="H28" s="200"/>
      <c r="I28" s="174"/>
      <c r="J28" s="112"/>
      <c r="K28" s="112"/>
    </row>
    <row r="29" spans="1:11" ht="15.75" customHeight="1" x14ac:dyDescent="0.25">
      <c r="A29" s="32"/>
      <c r="B29" s="196"/>
      <c r="C29" s="196"/>
      <c r="D29" s="180">
        <f t="shared" si="0"/>
        <v>44545</v>
      </c>
      <c r="E29" s="226"/>
      <c r="F29" s="191"/>
      <c r="G29" s="226"/>
      <c r="H29" s="200"/>
      <c r="I29" s="174"/>
      <c r="J29" s="112"/>
      <c r="K29" s="112"/>
    </row>
    <row r="30" spans="1:11" ht="15.75" customHeight="1" x14ac:dyDescent="0.25">
      <c r="A30" s="32"/>
      <c r="B30" s="196"/>
      <c r="C30" s="196"/>
      <c r="D30" s="180">
        <f t="shared" si="0"/>
        <v>44727</v>
      </c>
      <c r="E30" s="226"/>
      <c r="F30" s="191"/>
      <c r="G30" s="226"/>
      <c r="H30" s="200"/>
      <c r="I30" s="174"/>
      <c r="J30" s="112"/>
      <c r="K30" s="112"/>
    </row>
    <row r="31" spans="1:11" ht="15.75" customHeight="1" x14ac:dyDescent="0.25">
      <c r="A31" s="32"/>
      <c r="B31" s="196"/>
      <c r="C31" s="196"/>
      <c r="D31" s="180">
        <f t="shared" si="0"/>
        <v>44910</v>
      </c>
      <c r="E31" s="226"/>
      <c r="F31" s="191"/>
      <c r="G31" s="226"/>
      <c r="H31" s="200"/>
      <c r="I31" s="174"/>
      <c r="J31" s="112"/>
      <c r="K31" s="112"/>
    </row>
    <row r="32" spans="1:11" ht="15.75" customHeight="1" x14ac:dyDescent="0.25">
      <c r="A32" s="32"/>
      <c r="B32" s="196"/>
      <c r="C32" s="196"/>
      <c r="D32" s="180">
        <f t="shared" si="0"/>
        <v>45092</v>
      </c>
      <c r="E32" s="226"/>
      <c r="F32" s="191"/>
      <c r="G32" s="226"/>
      <c r="H32" s="200"/>
      <c r="I32" s="174"/>
      <c r="J32" s="112"/>
      <c r="K32" s="112"/>
    </row>
    <row r="33" spans="1:11" ht="15.75" customHeight="1" x14ac:dyDescent="0.25">
      <c r="A33" s="32"/>
      <c r="B33" s="196"/>
      <c r="C33" s="196"/>
      <c r="D33" s="180">
        <f t="shared" si="0"/>
        <v>45275</v>
      </c>
      <c r="E33" s="226"/>
      <c r="F33" s="191"/>
      <c r="G33" s="226"/>
      <c r="H33" s="200"/>
      <c r="I33" s="174"/>
      <c r="J33" s="112"/>
      <c r="K33" s="112"/>
    </row>
    <row r="34" spans="1:11" ht="15.75" customHeight="1" x14ac:dyDescent="0.25">
      <c r="A34" s="32"/>
      <c r="B34" s="196"/>
      <c r="C34" s="196"/>
      <c r="D34" s="180">
        <f t="shared" si="0"/>
        <v>45458</v>
      </c>
      <c r="E34" s="226"/>
      <c r="F34" s="191"/>
      <c r="G34" s="226"/>
      <c r="H34" s="200"/>
      <c r="I34" s="174"/>
      <c r="J34" s="112"/>
      <c r="K34" s="112"/>
    </row>
    <row r="35" spans="1:11" ht="15.75" customHeight="1" x14ac:dyDescent="0.25">
      <c r="A35" s="32"/>
      <c r="B35" s="196"/>
      <c r="C35" s="196"/>
      <c r="D35" s="180">
        <f t="shared" si="0"/>
        <v>45641</v>
      </c>
      <c r="E35" s="226"/>
      <c r="F35" s="191"/>
      <c r="G35" s="226"/>
      <c r="H35" s="200"/>
      <c r="I35" s="174"/>
      <c r="J35" s="112"/>
      <c r="K35" s="112"/>
    </row>
    <row r="36" spans="1:11" ht="15.75" customHeight="1" x14ac:dyDescent="0.25">
      <c r="A36" s="32"/>
      <c r="B36" s="196"/>
      <c r="C36" s="196"/>
      <c r="D36" s="198">
        <f t="shared" si="0"/>
        <v>45823</v>
      </c>
      <c r="E36" s="227"/>
      <c r="F36" s="227"/>
      <c r="G36" s="227"/>
      <c r="H36" s="200"/>
      <c r="I36" s="174"/>
      <c r="J36" s="112"/>
      <c r="K36" s="112"/>
    </row>
    <row r="37" spans="1:11" ht="15.75" customHeight="1" thickBot="1" x14ac:dyDescent="0.3">
      <c r="A37" s="32"/>
      <c r="B37" s="196"/>
      <c r="C37" s="197"/>
      <c r="D37" s="201"/>
      <c r="E37" s="202"/>
      <c r="F37" s="202"/>
      <c r="G37" s="202"/>
      <c r="H37" s="203"/>
      <c r="I37" s="174"/>
      <c r="J37" s="112"/>
      <c r="K37" s="112"/>
    </row>
    <row r="38" spans="1:11" ht="15.75" customHeight="1" thickBot="1" x14ac:dyDescent="0.3">
      <c r="A38" s="32"/>
      <c r="B38" s="196"/>
      <c r="C38" s="32"/>
      <c r="D38" s="180"/>
      <c r="E38" s="191"/>
      <c r="F38" s="191"/>
      <c r="G38" s="191"/>
      <c r="H38" s="191"/>
      <c r="I38" s="174"/>
      <c r="J38" s="112"/>
      <c r="K38" s="112"/>
    </row>
    <row r="39" spans="1:11" ht="15.75" customHeight="1" thickBot="1" x14ac:dyDescent="0.3">
      <c r="A39" s="32"/>
      <c r="B39" s="196"/>
      <c r="C39" s="251" t="s">
        <v>196</v>
      </c>
      <c r="D39" s="252"/>
      <c r="E39" s="252"/>
      <c r="F39" s="252"/>
      <c r="G39" s="252"/>
      <c r="H39" s="253"/>
      <c r="I39" s="174"/>
      <c r="J39" s="112"/>
      <c r="K39" s="112"/>
    </row>
    <row r="40" spans="1:11" ht="15.75" customHeight="1" x14ac:dyDescent="0.25">
      <c r="A40" s="32"/>
      <c r="B40" s="196"/>
      <c r="C40" s="195"/>
      <c r="D40" s="204"/>
      <c r="E40" s="205"/>
      <c r="F40" s="205"/>
      <c r="G40" s="205"/>
      <c r="H40" s="206"/>
      <c r="I40" s="174"/>
      <c r="J40" s="112"/>
      <c r="K40" s="112"/>
    </row>
    <row r="41" spans="1:11" ht="15.75" customHeight="1" x14ac:dyDescent="0.25">
      <c r="A41" s="32"/>
      <c r="B41" s="196"/>
      <c r="C41" s="196"/>
      <c r="D41" s="187"/>
      <c r="E41" s="192">
        <f>D9</f>
        <v>42178</v>
      </c>
      <c r="F41" s="192">
        <f>D10</f>
        <v>44910</v>
      </c>
      <c r="G41" s="191"/>
      <c r="H41" s="200"/>
      <c r="I41" s="174"/>
      <c r="J41" s="112"/>
      <c r="K41" s="112"/>
    </row>
    <row r="42" spans="1:11" ht="15.75" customHeight="1" x14ac:dyDescent="0.25">
      <c r="A42" s="32"/>
      <c r="B42" s="196"/>
      <c r="C42" s="196"/>
      <c r="D42" s="32"/>
      <c r="E42" s="189"/>
      <c r="F42" s="189"/>
      <c r="G42" s="191"/>
      <c r="H42" s="200"/>
      <c r="I42" s="174"/>
      <c r="J42" s="112"/>
      <c r="K42" s="112"/>
    </row>
    <row r="43" spans="1:11" ht="15.75" customHeight="1" x14ac:dyDescent="0.25">
      <c r="A43" s="32"/>
      <c r="B43" s="196"/>
      <c r="C43" s="196"/>
      <c r="D43" s="32" t="s">
        <v>177</v>
      </c>
      <c r="E43" s="1"/>
      <c r="F43" s="189"/>
      <c r="G43" s="191"/>
      <c r="H43" s="200"/>
      <c r="I43" s="174"/>
      <c r="J43" s="112"/>
      <c r="K43" s="112"/>
    </row>
    <row r="44" spans="1:11" ht="15.75" customHeight="1" x14ac:dyDescent="0.25">
      <c r="A44" s="32"/>
      <c r="B44" s="196"/>
      <c r="C44" s="196"/>
      <c r="D44" s="193" t="s">
        <v>178</v>
      </c>
      <c r="E44" s="228"/>
      <c r="F44" s="228"/>
      <c r="G44" s="191"/>
      <c r="H44" s="200"/>
      <c r="I44" s="174"/>
      <c r="J44" s="112"/>
      <c r="K44" s="112"/>
    </row>
    <row r="45" spans="1:11" ht="15.75" customHeight="1" x14ac:dyDescent="0.25">
      <c r="A45" s="32"/>
      <c r="B45" s="196"/>
      <c r="C45" s="196"/>
      <c r="D45" s="194" t="s">
        <v>179</v>
      </c>
      <c r="E45" s="229"/>
      <c r="F45" s="229"/>
      <c r="G45" s="191"/>
      <c r="H45" s="200"/>
      <c r="I45" s="174"/>
      <c r="J45" s="112"/>
      <c r="K45" s="112"/>
    </row>
    <row r="46" spans="1:11" ht="15.75" customHeight="1" x14ac:dyDescent="0.25">
      <c r="A46" s="32"/>
      <c r="B46" s="196"/>
      <c r="C46" s="196"/>
      <c r="D46" s="32"/>
      <c r="E46" s="189"/>
      <c r="F46" s="189"/>
      <c r="G46" s="191"/>
      <c r="H46" s="200"/>
      <c r="I46" s="174"/>
      <c r="J46" s="112"/>
      <c r="K46" s="112"/>
    </row>
    <row r="47" spans="1:11" ht="15.75" customHeight="1" x14ac:dyDescent="0.25">
      <c r="A47" s="32"/>
      <c r="B47" s="196"/>
      <c r="C47" s="196"/>
      <c r="D47" s="180">
        <f>D9</f>
        <v>42178</v>
      </c>
      <c r="E47" s="230"/>
      <c r="F47" s="189"/>
      <c r="G47" s="191"/>
      <c r="H47" s="200"/>
      <c r="I47" s="174"/>
      <c r="J47" s="112"/>
      <c r="K47" s="112"/>
    </row>
    <row r="48" spans="1:11" ht="15.75" customHeight="1" x14ac:dyDescent="0.25">
      <c r="A48" s="32"/>
      <c r="B48" s="196"/>
      <c r="C48" s="196"/>
      <c r="D48" s="180">
        <v>42353</v>
      </c>
      <c r="E48" s="226"/>
      <c r="F48" s="191"/>
      <c r="G48" s="191"/>
      <c r="H48" s="200"/>
      <c r="I48" s="174"/>
      <c r="J48" s="112"/>
      <c r="K48" s="112"/>
    </row>
    <row r="49" spans="1:11" ht="15.75" customHeight="1" x14ac:dyDescent="0.25">
      <c r="A49" s="32"/>
      <c r="B49" s="196"/>
      <c r="C49" s="196"/>
      <c r="D49" s="180">
        <f>EDATE(D48,6)</f>
        <v>42536</v>
      </c>
      <c r="E49" s="226"/>
      <c r="F49" s="191"/>
      <c r="G49" s="191"/>
      <c r="H49" s="200"/>
      <c r="I49" s="174"/>
      <c r="J49" s="112"/>
      <c r="K49" s="112"/>
    </row>
    <row r="50" spans="1:11" ht="15.75" customHeight="1" x14ac:dyDescent="0.25">
      <c r="A50" s="32"/>
      <c r="B50" s="196"/>
      <c r="C50" s="196"/>
      <c r="D50" s="180">
        <f t="shared" ref="D50:D67" si="1">EDATE(D49,6)</f>
        <v>42719</v>
      </c>
      <c r="E50" s="226"/>
      <c r="F50" s="191"/>
      <c r="G50" s="191"/>
      <c r="H50" s="200"/>
      <c r="I50" s="174"/>
      <c r="J50" s="112"/>
      <c r="K50" s="112"/>
    </row>
    <row r="51" spans="1:11" ht="15.75" customHeight="1" x14ac:dyDescent="0.25">
      <c r="A51" s="32"/>
      <c r="B51" s="196"/>
      <c r="C51" s="196"/>
      <c r="D51" s="180">
        <f t="shared" si="1"/>
        <v>42901</v>
      </c>
      <c r="E51" s="226"/>
      <c r="F51" s="191"/>
      <c r="G51" s="191"/>
      <c r="H51" s="200"/>
      <c r="I51" s="174"/>
      <c r="J51" s="112"/>
      <c r="K51" s="112"/>
    </row>
    <row r="52" spans="1:11" ht="15.75" customHeight="1" x14ac:dyDescent="0.25">
      <c r="A52" s="32"/>
      <c r="B52" s="196"/>
      <c r="C52" s="196"/>
      <c r="D52" s="180">
        <f t="shared" si="1"/>
        <v>43084</v>
      </c>
      <c r="E52" s="226"/>
      <c r="F52" s="191"/>
      <c r="G52" s="191"/>
      <c r="H52" s="200"/>
      <c r="I52" s="174"/>
      <c r="J52" s="112"/>
      <c r="K52" s="112"/>
    </row>
    <row r="53" spans="1:11" ht="15.75" customHeight="1" x14ac:dyDescent="0.25">
      <c r="A53" s="32"/>
      <c r="B53" s="196"/>
      <c r="C53" s="196"/>
      <c r="D53" s="180">
        <f t="shared" si="1"/>
        <v>43266</v>
      </c>
      <c r="E53" s="226"/>
      <c r="F53" s="191"/>
      <c r="G53" s="191"/>
      <c r="H53" s="200"/>
      <c r="I53" s="174"/>
      <c r="J53" s="112"/>
      <c r="K53" s="112"/>
    </row>
    <row r="54" spans="1:11" ht="15.75" customHeight="1" x14ac:dyDescent="0.25">
      <c r="A54" s="32"/>
      <c r="B54" s="196"/>
      <c r="C54" s="196"/>
      <c r="D54" s="180">
        <f t="shared" si="1"/>
        <v>43449</v>
      </c>
      <c r="E54" s="226"/>
      <c r="F54" s="191"/>
      <c r="G54" s="191"/>
      <c r="H54" s="200"/>
      <c r="I54" s="174"/>
      <c r="J54" s="112"/>
      <c r="K54" s="112"/>
    </row>
    <row r="55" spans="1:11" ht="15.75" customHeight="1" x14ac:dyDescent="0.25">
      <c r="A55" s="32"/>
      <c r="B55" s="196"/>
      <c r="C55" s="196"/>
      <c r="D55" s="180">
        <f t="shared" si="1"/>
        <v>43631</v>
      </c>
      <c r="E55" s="226"/>
      <c r="F55" s="191"/>
      <c r="G55" s="191"/>
      <c r="H55" s="200"/>
      <c r="I55" s="174"/>
      <c r="J55" s="112"/>
      <c r="K55" s="112"/>
    </row>
    <row r="56" spans="1:11" ht="15.75" customHeight="1" x14ac:dyDescent="0.25">
      <c r="A56" s="32"/>
      <c r="B56" s="196"/>
      <c r="C56" s="196"/>
      <c r="D56" s="180">
        <f t="shared" si="1"/>
        <v>43814</v>
      </c>
      <c r="E56" s="226"/>
      <c r="F56" s="191"/>
      <c r="G56" s="191"/>
      <c r="H56" s="200"/>
      <c r="I56" s="174"/>
      <c r="J56" s="112"/>
      <c r="K56" s="112"/>
    </row>
    <row r="57" spans="1:11" ht="15.75" customHeight="1" x14ac:dyDescent="0.25">
      <c r="A57" s="32"/>
      <c r="B57" s="196"/>
      <c r="C57" s="196"/>
      <c r="D57" s="180">
        <f t="shared" si="1"/>
        <v>43997</v>
      </c>
      <c r="E57" s="226"/>
      <c r="F57" s="191"/>
      <c r="G57" s="191"/>
      <c r="H57" s="200"/>
      <c r="I57" s="174"/>
      <c r="J57" s="112"/>
      <c r="K57" s="112"/>
    </row>
    <row r="58" spans="1:11" ht="15.75" customHeight="1" x14ac:dyDescent="0.25">
      <c r="A58" s="32"/>
      <c r="B58" s="196"/>
      <c r="C58" s="196"/>
      <c r="D58" s="180">
        <f t="shared" si="1"/>
        <v>44180</v>
      </c>
      <c r="E58" s="226"/>
      <c r="F58" s="191"/>
      <c r="G58" s="191"/>
      <c r="H58" s="200"/>
      <c r="I58" s="174"/>
      <c r="J58" s="112"/>
      <c r="K58" s="112"/>
    </row>
    <row r="59" spans="1:11" ht="15.75" customHeight="1" x14ac:dyDescent="0.25">
      <c r="A59" s="32"/>
      <c r="B59" s="196"/>
      <c r="C59" s="196"/>
      <c r="D59" s="180">
        <f t="shared" si="1"/>
        <v>44362</v>
      </c>
      <c r="E59" s="226"/>
      <c r="F59" s="191"/>
      <c r="G59" s="191"/>
      <c r="H59" s="200"/>
      <c r="I59" s="174"/>
      <c r="J59" s="112"/>
      <c r="K59" s="112"/>
    </row>
    <row r="60" spans="1:11" ht="15.75" customHeight="1" x14ac:dyDescent="0.25">
      <c r="A60" s="32"/>
      <c r="B60" s="196"/>
      <c r="C60" s="196"/>
      <c r="D60" s="180">
        <f t="shared" si="1"/>
        <v>44545</v>
      </c>
      <c r="E60" s="226"/>
      <c r="F60" s="191"/>
      <c r="G60" s="191"/>
      <c r="H60" s="200"/>
      <c r="I60" s="174"/>
      <c r="J60" s="112"/>
      <c r="K60" s="112"/>
    </row>
    <row r="61" spans="1:11" ht="15.75" customHeight="1" x14ac:dyDescent="0.25">
      <c r="A61" s="32"/>
      <c r="B61" s="196"/>
      <c r="C61" s="196"/>
      <c r="D61" s="180">
        <f t="shared" si="1"/>
        <v>44727</v>
      </c>
      <c r="E61" s="226"/>
      <c r="F61" s="191"/>
      <c r="G61" s="191"/>
      <c r="H61" s="200"/>
      <c r="I61" s="174"/>
      <c r="J61" s="112"/>
      <c r="K61" s="112"/>
    </row>
    <row r="62" spans="1:11" ht="15.75" customHeight="1" x14ac:dyDescent="0.25">
      <c r="A62" s="32"/>
      <c r="B62" s="196"/>
      <c r="C62" s="196"/>
      <c r="D62" s="180">
        <f t="shared" si="1"/>
        <v>44910</v>
      </c>
      <c r="E62" s="226"/>
      <c r="F62" s="226"/>
      <c r="G62" s="32"/>
      <c r="H62" s="174"/>
      <c r="I62" s="174"/>
      <c r="J62" s="32"/>
      <c r="K62" s="112"/>
    </row>
    <row r="63" spans="1:11" ht="15.75" customHeight="1" x14ac:dyDescent="0.25">
      <c r="B63" s="5"/>
      <c r="C63" s="5"/>
      <c r="D63" s="180">
        <f t="shared" si="1"/>
        <v>45092</v>
      </c>
      <c r="E63" s="226"/>
      <c r="F63" s="226"/>
      <c r="G63" s="32"/>
      <c r="H63" s="174"/>
      <c r="I63" s="174"/>
      <c r="J63" s="32"/>
      <c r="K63" s="112"/>
    </row>
    <row r="64" spans="1:11" ht="15.75" customHeight="1" x14ac:dyDescent="0.25">
      <c r="B64" s="5"/>
      <c r="C64" s="5"/>
      <c r="D64" s="180">
        <f t="shared" si="1"/>
        <v>45275</v>
      </c>
      <c r="E64" s="226"/>
      <c r="F64" s="226"/>
      <c r="G64" s="32"/>
      <c r="H64" s="174"/>
      <c r="I64" s="174"/>
      <c r="J64" s="112"/>
      <c r="K64" s="112"/>
    </row>
    <row r="65" spans="2:11" ht="15.75" customHeight="1" x14ac:dyDescent="0.25">
      <c r="B65" s="5"/>
      <c r="C65" s="5"/>
      <c r="D65" s="180">
        <f t="shared" si="1"/>
        <v>45458</v>
      </c>
      <c r="E65" s="226"/>
      <c r="F65" s="226"/>
      <c r="G65" s="32"/>
      <c r="H65" s="174"/>
      <c r="I65" s="174"/>
      <c r="J65" s="112"/>
      <c r="K65" s="112"/>
    </row>
    <row r="66" spans="2:11" ht="15.75" customHeight="1" x14ac:dyDescent="0.25">
      <c r="B66" s="5"/>
      <c r="C66" s="5"/>
      <c r="D66" s="180">
        <f t="shared" si="1"/>
        <v>45641</v>
      </c>
      <c r="E66" s="226"/>
      <c r="F66" s="226"/>
      <c r="G66" s="1"/>
      <c r="H66" s="6"/>
      <c r="I66" s="6"/>
    </row>
    <row r="67" spans="2:11" ht="15.75" customHeight="1" x14ac:dyDescent="0.25">
      <c r="B67" s="5"/>
      <c r="C67" s="5"/>
      <c r="D67" s="198">
        <f t="shared" si="1"/>
        <v>45823</v>
      </c>
      <c r="E67" s="227"/>
      <c r="F67" s="227"/>
      <c r="G67" s="1"/>
      <c r="H67" s="6"/>
      <c r="I67" s="6"/>
    </row>
    <row r="68" spans="2:11" ht="15.75" customHeight="1" thickBot="1" x14ac:dyDescent="0.3">
      <c r="B68" s="5"/>
      <c r="C68" s="14"/>
      <c r="D68" s="15"/>
      <c r="E68" s="15"/>
      <c r="F68" s="15"/>
      <c r="G68" s="15"/>
      <c r="H68" s="16"/>
      <c r="I68" s="6"/>
    </row>
    <row r="69" spans="2:11" ht="15.75" customHeight="1" thickBot="1" x14ac:dyDescent="0.3">
      <c r="B69" s="14"/>
      <c r="C69" s="15"/>
      <c r="D69" s="15"/>
      <c r="E69" s="15"/>
      <c r="F69" s="15"/>
      <c r="G69" s="15"/>
      <c r="H69" s="15"/>
      <c r="I69" s="16"/>
    </row>
  </sheetData>
  <mergeCells count="4">
    <mergeCell ref="C13:H13"/>
    <mergeCell ref="C39:H39"/>
    <mergeCell ref="C3:H3"/>
    <mergeCell ref="C14:H14"/>
  </mergeCells>
  <hyperlinks>
    <hyperlink ref="K3" location="'Table of Content'!A1" display="Return to TOC" xr:uid="{C72C8E04-3D64-434C-A011-BC0ED6AA04A1}"/>
  </hyperlinks>
  <pageMargins left="0.2" right="0.2" top="0.25" bottom="0.25" header="0.3" footer="0.3"/>
  <pageSetup scale="72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6EBB-277F-4C72-A5F1-EAFB98ACEDD8}">
  <sheetPr>
    <tabColor theme="7" tint="0.59999389629810485"/>
    <pageSetUpPr fitToPage="1"/>
  </sheetPr>
  <dimension ref="A1:T42"/>
  <sheetViews>
    <sheetView showGridLines="0" workbookViewId="0">
      <selection activeCell="C3" sqref="C3:Q3"/>
    </sheetView>
  </sheetViews>
  <sheetFormatPr defaultColWidth="12.7109375" defaultRowHeight="15.75" customHeight="1" x14ac:dyDescent="0.25"/>
  <cols>
    <col min="1" max="3" width="2.7109375" style="19" customWidth="1"/>
    <col min="4" max="4" width="40.7109375" style="19" customWidth="1"/>
    <col min="5" max="8" width="12.7109375" style="19"/>
    <col min="9" max="9" width="12.7109375" style="19" customWidth="1"/>
    <col min="10" max="10" width="6.7109375" style="19" customWidth="1"/>
    <col min="11" max="11" width="40.7109375" style="19" customWidth="1"/>
    <col min="12" max="16" width="12.7109375" style="19"/>
    <col min="17" max="17" width="2.7109375" style="112" customWidth="1"/>
    <col min="18" max="19" width="2.7109375" style="19" customWidth="1"/>
    <col min="20" max="20" width="15.7109375" style="19" customWidth="1"/>
    <col min="21" max="16384" width="12.7109375" style="19"/>
  </cols>
  <sheetData>
    <row r="1" spans="1:20" ht="15.75" customHeight="1" thickBot="1" x14ac:dyDescent="0.3"/>
    <row r="2" spans="1:20" ht="15.75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13"/>
      <c r="R2" s="4"/>
    </row>
    <row r="3" spans="1:20" ht="15.75" customHeight="1" x14ac:dyDescent="0.25">
      <c r="B3" s="5"/>
      <c r="C3" s="232" t="s">
        <v>197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6"/>
      <c r="T3" s="51" t="s">
        <v>111</v>
      </c>
    </row>
    <row r="4" spans="1:20" ht="15.75" customHeight="1" thickBot="1" x14ac:dyDescent="0.3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2"/>
      <c r="R4" s="6"/>
    </row>
    <row r="5" spans="1:20" ht="15.75" customHeight="1" thickBot="1" x14ac:dyDescent="0.3">
      <c r="A5" s="1"/>
      <c r="B5" s="5"/>
      <c r="C5" s="245" t="s">
        <v>182</v>
      </c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7"/>
      <c r="R5" s="6"/>
    </row>
    <row r="6" spans="1:20" ht="15.75" customHeight="1" x14ac:dyDescent="0.25">
      <c r="A6" s="1"/>
      <c r="B6" s="5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73"/>
      <c r="R6" s="6"/>
    </row>
    <row r="7" spans="1:20" ht="15.75" customHeight="1" x14ac:dyDescent="0.25">
      <c r="A7" s="1"/>
      <c r="B7" s="5"/>
      <c r="C7" s="5"/>
      <c r="D7" s="237" t="s">
        <v>25</v>
      </c>
      <c r="E7" s="237"/>
      <c r="F7" s="237"/>
      <c r="G7" s="237"/>
      <c r="H7" s="237"/>
      <c r="I7" s="237"/>
      <c r="J7" s="1"/>
      <c r="K7" s="237" t="s">
        <v>27</v>
      </c>
      <c r="L7" s="237"/>
      <c r="M7" s="237"/>
      <c r="N7" s="237"/>
      <c r="O7" s="237"/>
      <c r="P7" s="237"/>
      <c r="Q7" s="172"/>
      <c r="R7" s="6"/>
    </row>
    <row r="8" spans="1:20" ht="15.75" customHeight="1" x14ac:dyDescent="0.25">
      <c r="A8" s="1"/>
      <c r="B8" s="5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74"/>
      <c r="R8" s="6"/>
    </row>
    <row r="9" spans="1:20" ht="15.75" customHeight="1" x14ac:dyDescent="0.25">
      <c r="A9" s="1"/>
      <c r="B9" s="5"/>
      <c r="C9" s="5"/>
      <c r="D9" s="20"/>
      <c r="E9" s="27">
        <v>2022</v>
      </c>
      <c r="F9" s="27">
        <v>2021</v>
      </c>
      <c r="G9" s="27">
        <v>2020</v>
      </c>
      <c r="H9" s="27">
        <v>2019</v>
      </c>
      <c r="I9" s="27">
        <v>2018</v>
      </c>
      <c r="J9" s="1"/>
      <c r="K9" s="20"/>
      <c r="L9" s="27">
        <v>2022</v>
      </c>
      <c r="M9" s="27">
        <v>2021</v>
      </c>
      <c r="N9" s="27">
        <v>2020</v>
      </c>
      <c r="O9" s="27">
        <v>2019</v>
      </c>
      <c r="P9" s="27">
        <v>2018</v>
      </c>
      <c r="Q9" s="175"/>
      <c r="R9" s="90"/>
    </row>
    <row r="10" spans="1:20" ht="15.75" customHeight="1" x14ac:dyDescent="0.25">
      <c r="A10" s="1"/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74"/>
      <c r="R10" s="6"/>
    </row>
    <row r="11" spans="1:20" ht="15.75" customHeight="1" x14ac:dyDescent="0.25">
      <c r="A11" s="1"/>
      <c r="B11" s="5"/>
      <c r="C11" s="5"/>
      <c r="D11" s="23" t="s">
        <v>183</v>
      </c>
      <c r="E11" s="81"/>
      <c r="F11" s="81"/>
      <c r="G11" s="81"/>
      <c r="H11" s="81"/>
      <c r="I11" s="81"/>
      <c r="J11" s="1"/>
      <c r="K11" s="23" t="s">
        <v>183</v>
      </c>
      <c r="L11" s="81"/>
      <c r="M11" s="81"/>
      <c r="N11" s="81"/>
      <c r="O11" s="81"/>
      <c r="P11" s="81"/>
      <c r="Q11" s="135"/>
      <c r="R11" s="91"/>
    </row>
    <row r="12" spans="1:20" ht="15.75" customHeight="1" x14ac:dyDescent="0.25">
      <c r="A12" s="1"/>
      <c r="B12" s="5"/>
      <c r="C12" s="5"/>
      <c r="D12" s="23" t="s">
        <v>134</v>
      </c>
      <c r="E12" s="86"/>
      <c r="F12" s="86"/>
      <c r="G12" s="86"/>
      <c r="H12" s="86"/>
      <c r="I12" s="86"/>
      <c r="J12" s="1"/>
      <c r="K12" s="23" t="s">
        <v>134</v>
      </c>
      <c r="L12" s="86"/>
      <c r="M12" s="86"/>
      <c r="N12" s="86"/>
      <c r="O12" s="86"/>
      <c r="P12" s="86"/>
      <c r="Q12" s="135"/>
      <c r="R12" s="6"/>
    </row>
    <row r="13" spans="1:20" ht="15.75" customHeight="1" x14ac:dyDescent="0.25">
      <c r="A13" s="1"/>
      <c r="B13" s="5"/>
      <c r="C13" s="5"/>
      <c r="D13" s="27" t="s">
        <v>182</v>
      </c>
      <c r="E13" s="178"/>
      <c r="F13" s="178"/>
      <c r="G13" s="178"/>
      <c r="H13" s="178"/>
      <c r="I13" s="178"/>
      <c r="J13" s="1"/>
      <c r="K13" s="27" t="s">
        <v>182</v>
      </c>
      <c r="L13" s="178"/>
      <c r="M13" s="178"/>
      <c r="N13" s="178"/>
      <c r="O13" s="178"/>
      <c r="P13" s="178"/>
      <c r="Q13" s="176"/>
      <c r="R13" s="92"/>
    </row>
    <row r="14" spans="1:20" ht="15.75" customHeight="1" x14ac:dyDescent="0.25">
      <c r="A14" s="1"/>
      <c r="B14" s="5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74"/>
      <c r="R14" s="6"/>
    </row>
    <row r="15" spans="1:20" ht="15.75" customHeight="1" x14ac:dyDescent="0.25">
      <c r="A15" s="1"/>
      <c r="B15" s="5"/>
      <c r="C15" s="5"/>
      <c r="D15" s="237" t="s">
        <v>26</v>
      </c>
      <c r="E15" s="237"/>
      <c r="F15" s="237"/>
      <c r="G15" s="237"/>
      <c r="H15" s="237"/>
      <c r="I15" s="237"/>
      <c r="J15" s="1"/>
      <c r="K15" s="237" t="s">
        <v>28</v>
      </c>
      <c r="L15" s="237"/>
      <c r="M15" s="237"/>
      <c r="N15" s="237"/>
      <c r="O15" s="237"/>
      <c r="P15" s="237"/>
      <c r="Q15" s="172"/>
      <c r="R15" s="6"/>
    </row>
    <row r="16" spans="1:20" ht="15.75" customHeight="1" x14ac:dyDescent="0.25">
      <c r="A16" s="1"/>
      <c r="B16" s="5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74"/>
      <c r="R16" s="6"/>
    </row>
    <row r="17" spans="1:18" ht="15.75" customHeight="1" x14ac:dyDescent="0.25">
      <c r="A17" s="1"/>
      <c r="B17" s="5"/>
      <c r="C17" s="5"/>
      <c r="D17" s="20"/>
      <c r="E17" s="27">
        <v>2022</v>
      </c>
      <c r="F17" s="27">
        <v>2021</v>
      </c>
      <c r="G17" s="27">
        <v>2020</v>
      </c>
      <c r="H17" s="27">
        <v>2019</v>
      </c>
      <c r="I17" s="27">
        <v>2018</v>
      </c>
      <c r="J17" s="1"/>
      <c r="K17" s="20"/>
      <c r="L17" s="27">
        <v>2022</v>
      </c>
      <c r="M17" s="27">
        <v>2021</v>
      </c>
      <c r="N17" s="27">
        <v>2020</v>
      </c>
      <c r="O17" s="27">
        <v>2019</v>
      </c>
      <c r="P17" s="27">
        <v>2018</v>
      </c>
      <c r="Q17" s="175"/>
      <c r="R17" s="90"/>
    </row>
    <row r="18" spans="1:18" ht="15.75" customHeight="1" x14ac:dyDescent="0.25">
      <c r="A18" s="1"/>
      <c r="B18" s="5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74"/>
      <c r="R18" s="6"/>
    </row>
    <row r="19" spans="1:18" ht="15.75" customHeight="1" x14ac:dyDescent="0.25">
      <c r="A19" s="1"/>
      <c r="B19" s="5"/>
      <c r="C19" s="5"/>
      <c r="D19" s="23" t="s">
        <v>183</v>
      </c>
      <c r="E19" s="81"/>
      <c r="F19" s="81"/>
      <c r="G19" s="81"/>
      <c r="H19" s="81"/>
      <c r="I19" s="81"/>
      <c r="J19" s="1"/>
      <c r="K19" s="23" t="s">
        <v>183</v>
      </c>
      <c r="L19" s="81"/>
      <c r="M19" s="81"/>
      <c r="N19" s="81"/>
      <c r="O19" s="81"/>
      <c r="P19" s="81"/>
      <c r="Q19" s="135"/>
      <c r="R19" s="91"/>
    </row>
    <row r="20" spans="1:18" ht="15.75" customHeight="1" x14ac:dyDescent="0.25">
      <c r="A20" s="1"/>
      <c r="B20" s="5"/>
      <c r="C20" s="5"/>
      <c r="D20" s="23" t="s">
        <v>134</v>
      </c>
      <c r="E20" s="86"/>
      <c r="F20" s="86"/>
      <c r="G20" s="86"/>
      <c r="H20" s="86"/>
      <c r="I20" s="86"/>
      <c r="J20" s="1"/>
      <c r="K20" s="23" t="s">
        <v>134</v>
      </c>
      <c r="L20" s="86"/>
      <c r="M20" s="86"/>
      <c r="N20" s="86"/>
      <c r="O20" s="86"/>
      <c r="P20" s="86"/>
      <c r="Q20" s="135"/>
      <c r="R20" s="6"/>
    </row>
    <row r="21" spans="1:18" s="1" customFormat="1" ht="15.75" customHeight="1" x14ac:dyDescent="0.25">
      <c r="B21" s="5"/>
      <c r="C21" s="5"/>
      <c r="D21" s="27" t="s">
        <v>182</v>
      </c>
      <c r="E21" s="178"/>
      <c r="F21" s="178"/>
      <c r="G21" s="178"/>
      <c r="H21" s="178"/>
      <c r="I21" s="178"/>
      <c r="K21" s="27" t="s">
        <v>182</v>
      </c>
      <c r="L21" s="178"/>
      <c r="M21" s="178"/>
      <c r="N21" s="178"/>
      <c r="O21" s="178"/>
      <c r="P21" s="178"/>
      <c r="Q21" s="176"/>
      <c r="R21" s="92"/>
    </row>
    <row r="22" spans="1:18" ht="15.75" customHeight="1" thickBot="1" x14ac:dyDescent="0.3">
      <c r="A22" s="1"/>
      <c r="B22" s="5"/>
      <c r="C22" s="14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49"/>
      <c r="R22" s="6"/>
    </row>
    <row r="23" spans="1:18" ht="15.75" customHeight="1" thickBot="1" x14ac:dyDescent="0.3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2"/>
      <c r="R23" s="6"/>
    </row>
    <row r="24" spans="1:18" ht="15.75" customHeight="1" thickBot="1" x14ac:dyDescent="0.3">
      <c r="B24" s="5"/>
      <c r="C24" s="245" t="s">
        <v>181</v>
      </c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7"/>
      <c r="R24" s="6"/>
    </row>
    <row r="25" spans="1:18" ht="15.75" customHeight="1" x14ac:dyDescent="0.25">
      <c r="B25" s="5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73"/>
      <c r="R25" s="6"/>
    </row>
    <row r="26" spans="1:18" ht="15.75" customHeight="1" x14ac:dyDescent="0.25">
      <c r="B26" s="5"/>
      <c r="C26" s="5"/>
      <c r="D26" s="237" t="s">
        <v>25</v>
      </c>
      <c r="E26" s="237"/>
      <c r="F26" s="237"/>
      <c r="G26" s="237"/>
      <c r="H26" s="237"/>
      <c r="I26" s="237"/>
      <c r="J26" s="1"/>
      <c r="K26" s="237" t="s">
        <v>27</v>
      </c>
      <c r="L26" s="237"/>
      <c r="M26" s="237"/>
      <c r="N26" s="237"/>
      <c r="O26" s="237"/>
      <c r="P26" s="237"/>
      <c r="Q26" s="172"/>
      <c r="R26" s="6"/>
    </row>
    <row r="27" spans="1:18" ht="15.75" customHeight="1" x14ac:dyDescent="0.25">
      <c r="B27" s="5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74"/>
      <c r="R27" s="6"/>
    </row>
    <row r="28" spans="1:18" ht="15.75" customHeight="1" x14ac:dyDescent="0.25">
      <c r="B28" s="5"/>
      <c r="C28" s="5"/>
      <c r="D28" s="20"/>
      <c r="E28" s="27">
        <v>2022</v>
      </c>
      <c r="F28" s="27">
        <v>2021</v>
      </c>
      <c r="G28" s="27">
        <v>2020</v>
      </c>
      <c r="H28" s="27">
        <v>2019</v>
      </c>
      <c r="I28" s="27">
        <v>2018</v>
      </c>
      <c r="J28" s="1"/>
      <c r="K28" s="20"/>
      <c r="L28" s="27">
        <v>2022</v>
      </c>
      <c r="M28" s="27">
        <v>2021</v>
      </c>
      <c r="N28" s="27">
        <v>2020</v>
      </c>
      <c r="O28" s="27">
        <v>2019</v>
      </c>
      <c r="P28" s="27">
        <v>2018</v>
      </c>
      <c r="Q28" s="175"/>
      <c r="R28" s="6"/>
    </row>
    <row r="29" spans="1:18" ht="15.75" customHeight="1" x14ac:dyDescent="0.25">
      <c r="B29" s="5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74"/>
      <c r="R29" s="6"/>
    </row>
    <row r="30" spans="1:18" ht="15.75" customHeight="1" x14ac:dyDescent="0.25">
      <c r="B30" s="5"/>
      <c r="C30" s="5"/>
      <c r="D30" s="23" t="s">
        <v>183</v>
      </c>
      <c r="E30" s="81"/>
      <c r="F30" s="81"/>
      <c r="G30" s="81"/>
      <c r="H30" s="81"/>
      <c r="I30" s="81"/>
      <c r="J30" s="1"/>
      <c r="K30" s="23" t="s">
        <v>183</v>
      </c>
      <c r="L30" s="81"/>
      <c r="M30" s="81"/>
      <c r="N30" s="81"/>
      <c r="O30" s="81"/>
      <c r="P30" s="81"/>
      <c r="Q30" s="135"/>
      <c r="R30" s="6"/>
    </row>
    <row r="31" spans="1:18" ht="15.75" customHeight="1" x14ac:dyDescent="0.25">
      <c r="B31" s="5"/>
      <c r="C31" s="5"/>
      <c r="D31" s="23" t="s">
        <v>172</v>
      </c>
      <c r="E31" s="86"/>
      <c r="F31" s="86"/>
      <c r="G31" s="86"/>
      <c r="H31" s="86"/>
      <c r="I31" s="86"/>
      <c r="J31" s="1"/>
      <c r="K31" s="23" t="s">
        <v>172</v>
      </c>
      <c r="L31" s="86"/>
      <c r="M31" s="86"/>
      <c r="N31" s="86"/>
      <c r="O31" s="86"/>
      <c r="P31" s="86"/>
      <c r="Q31" s="135"/>
      <c r="R31" s="6"/>
    </row>
    <row r="32" spans="1:18" ht="15.75" customHeight="1" x14ac:dyDescent="0.25">
      <c r="B32" s="5"/>
      <c r="C32" s="5"/>
      <c r="D32" s="27" t="s">
        <v>184</v>
      </c>
      <c r="E32" s="96"/>
      <c r="F32" s="96"/>
      <c r="G32" s="96"/>
      <c r="H32" s="96"/>
      <c r="I32" s="96"/>
      <c r="J32" s="1"/>
      <c r="K32" s="27" t="s">
        <v>184</v>
      </c>
      <c r="L32" s="96"/>
      <c r="M32" s="96"/>
      <c r="N32" s="96"/>
      <c r="O32" s="96"/>
      <c r="P32" s="96"/>
      <c r="Q32" s="176"/>
      <c r="R32" s="6"/>
    </row>
    <row r="33" spans="2:18" ht="15.75" customHeight="1" x14ac:dyDescent="0.25">
      <c r="B33" s="5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74"/>
      <c r="R33" s="6"/>
    </row>
    <row r="34" spans="2:18" ht="15.75" customHeight="1" x14ac:dyDescent="0.25">
      <c r="B34" s="5"/>
      <c r="C34" s="5"/>
      <c r="D34" s="237" t="s">
        <v>26</v>
      </c>
      <c r="E34" s="237"/>
      <c r="F34" s="237"/>
      <c r="G34" s="237"/>
      <c r="H34" s="237"/>
      <c r="I34" s="237"/>
      <c r="J34" s="1"/>
      <c r="K34" s="237" t="s">
        <v>28</v>
      </c>
      <c r="L34" s="237"/>
      <c r="M34" s="237"/>
      <c r="N34" s="237"/>
      <c r="O34" s="237"/>
      <c r="P34" s="237"/>
      <c r="Q34" s="172"/>
      <c r="R34" s="6"/>
    </row>
    <row r="35" spans="2:18" ht="15.75" customHeight="1" x14ac:dyDescent="0.25">
      <c r="B35" s="5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74"/>
      <c r="R35" s="6"/>
    </row>
    <row r="36" spans="2:18" ht="15.75" customHeight="1" x14ac:dyDescent="0.25">
      <c r="B36" s="5"/>
      <c r="C36" s="5"/>
      <c r="D36" s="20"/>
      <c r="E36" s="27">
        <v>2022</v>
      </c>
      <c r="F36" s="27">
        <v>2021</v>
      </c>
      <c r="G36" s="27">
        <v>2020</v>
      </c>
      <c r="H36" s="27">
        <v>2019</v>
      </c>
      <c r="I36" s="27">
        <v>2018</v>
      </c>
      <c r="J36" s="1"/>
      <c r="K36" s="20"/>
      <c r="L36" s="27">
        <v>2022</v>
      </c>
      <c r="M36" s="27">
        <v>2021</v>
      </c>
      <c r="N36" s="27">
        <v>2020</v>
      </c>
      <c r="O36" s="27">
        <v>2019</v>
      </c>
      <c r="P36" s="27">
        <v>2018</v>
      </c>
      <c r="Q36" s="175"/>
      <c r="R36" s="6"/>
    </row>
    <row r="37" spans="2:18" ht="15.75" customHeight="1" x14ac:dyDescent="0.25">
      <c r="B37" s="5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74"/>
      <c r="R37" s="6"/>
    </row>
    <row r="38" spans="2:18" ht="15.75" customHeight="1" x14ac:dyDescent="0.25">
      <c r="B38" s="5"/>
      <c r="C38" s="5"/>
      <c r="D38" s="23" t="s">
        <v>183</v>
      </c>
      <c r="E38" s="81"/>
      <c r="F38" s="81"/>
      <c r="G38" s="81"/>
      <c r="H38" s="81"/>
      <c r="I38" s="81"/>
      <c r="J38" s="1"/>
      <c r="K38" s="23" t="s">
        <v>183</v>
      </c>
      <c r="L38" s="81"/>
      <c r="M38" s="81"/>
      <c r="N38" s="81"/>
      <c r="O38" s="81"/>
      <c r="P38" s="81"/>
      <c r="Q38" s="135"/>
      <c r="R38" s="6"/>
    </row>
    <row r="39" spans="2:18" ht="15.75" customHeight="1" x14ac:dyDescent="0.25">
      <c r="B39" s="5"/>
      <c r="C39" s="5"/>
      <c r="D39" s="23" t="s">
        <v>172</v>
      </c>
      <c r="E39" s="86"/>
      <c r="F39" s="86"/>
      <c r="G39" s="86"/>
      <c r="H39" s="86"/>
      <c r="I39" s="86"/>
      <c r="J39" s="1"/>
      <c r="K39" s="23" t="s">
        <v>172</v>
      </c>
      <c r="L39" s="86"/>
      <c r="M39" s="86"/>
      <c r="N39" s="86"/>
      <c r="O39" s="86"/>
      <c r="P39" s="86"/>
      <c r="Q39" s="135"/>
      <c r="R39" s="6"/>
    </row>
    <row r="40" spans="2:18" ht="15.75" customHeight="1" x14ac:dyDescent="0.25">
      <c r="B40" s="5"/>
      <c r="C40" s="5"/>
      <c r="D40" s="27" t="s">
        <v>184</v>
      </c>
      <c r="E40" s="96"/>
      <c r="F40" s="96"/>
      <c r="G40" s="96"/>
      <c r="H40" s="96"/>
      <c r="I40" s="96"/>
      <c r="J40" s="1"/>
      <c r="K40" s="27" t="s">
        <v>184</v>
      </c>
      <c r="L40" s="96"/>
      <c r="M40" s="96"/>
      <c r="N40" s="96"/>
      <c r="O40" s="96"/>
      <c r="P40" s="96"/>
      <c r="Q40" s="176"/>
      <c r="R40" s="6"/>
    </row>
    <row r="41" spans="2:18" ht="15.75" customHeight="1" thickBot="1" x14ac:dyDescent="0.3">
      <c r="B41" s="5"/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49"/>
      <c r="R41" s="6"/>
    </row>
    <row r="42" spans="2:18" ht="15.75" customHeight="1" x14ac:dyDescent="0.25"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2"/>
      <c r="R42" s="6"/>
    </row>
  </sheetData>
  <mergeCells count="11">
    <mergeCell ref="C24:Q24"/>
    <mergeCell ref="D26:I26"/>
    <mergeCell ref="K26:P26"/>
    <mergeCell ref="D34:I34"/>
    <mergeCell ref="K34:P34"/>
    <mergeCell ref="C3:Q3"/>
    <mergeCell ref="C5:Q5"/>
    <mergeCell ref="D7:I7"/>
    <mergeCell ref="K7:P7"/>
    <mergeCell ref="D15:I15"/>
    <mergeCell ref="K15:P15"/>
  </mergeCells>
  <hyperlinks>
    <hyperlink ref="T3" location="'Table of Content'!A1" display="Return to TOC" xr:uid="{66629DBA-2503-4509-9DED-85804BDFDDED}"/>
  </hyperlinks>
  <pageMargins left="0.2" right="0.2" top="0.25" bottom="0.25" header="0.3" footer="0.3"/>
  <pageSetup scale="54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C4A8-7665-4AED-8A6E-FC0FA3574090}">
  <sheetPr>
    <tabColor theme="7" tint="0.59999389629810485"/>
    <pageSetUpPr fitToPage="1"/>
  </sheetPr>
  <dimension ref="B1:M31"/>
  <sheetViews>
    <sheetView showGridLines="0" workbookViewId="0">
      <selection activeCell="C3" sqref="C3:J3"/>
    </sheetView>
  </sheetViews>
  <sheetFormatPr defaultColWidth="12.7109375" defaultRowHeight="15.75" customHeight="1" x14ac:dyDescent="0.25"/>
  <cols>
    <col min="1" max="3" width="2.7109375" style="1" customWidth="1"/>
    <col min="4" max="4" width="46.7109375" style="1" customWidth="1"/>
    <col min="5" max="5" width="2.7109375" style="1" customWidth="1"/>
    <col min="6" max="9" width="15.7109375" style="1" customWidth="1"/>
    <col min="10" max="10" width="2.7109375" style="210" customWidth="1"/>
    <col min="11" max="12" width="2.7109375" style="1" customWidth="1"/>
    <col min="13" max="13" width="15.7109375" style="1" customWidth="1"/>
    <col min="14" max="16384" width="12.7109375" style="1"/>
  </cols>
  <sheetData>
    <row r="1" spans="2:13" ht="15.75" customHeight="1" thickBot="1" x14ac:dyDescent="0.3"/>
    <row r="2" spans="2:13" ht="15.75" customHeight="1" x14ac:dyDescent="0.25">
      <c r="B2" s="2"/>
      <c r="C2" s="3"/>
      <c r="D2" s="3"/>
      <c r="E2" s="3"/>
      <c r="F2" s="3"/>
      <c r="G2" s="3"/>
      <c r="H2" s="3"/>
      <c r="I2" s="3"/>
      <c r="J2" s="224"/>
      <c r="K2" s="4"/>
    </row>
    <row r="3" spans="2:13" ht="15.75" customHeight="1" x14ac:dyDescent="0.25">
      <c r="B3" s="5"/>
      <c r="C3" s="232" t="s">
        <v>198</v>
      </c>
      <c r="D3" s="232"/>
      <c r="E3" s="232"/>
      <c r="F3" s="232"/>
      <c r="G3" s="232"/>
      <c r="H3" s="232"/>
      <c r="I3" s="232"/>
      <c r="J3" s="232"/>
      <c r="K3" s="6"/>
      <c r="M3" s="52" t="s">
        <v>111</v>
      </c>
    </row>
    <row r="4" spans="2:13" ht="15.75" customHeight="1" thickBot="1" x14ac:dyDescent="0.3">
      <c r="B4" s="5"/>
      <c r="D4" s="68"/>
      <c r="E4" s="68"/>
      <c r="F4" s="68"/>
      <c r="G4" s="68"/>
      <c r="H4" s="68"/>
      <c r="I4" s="68"/>
      <c r="J4" s="214"/>
      <c r="K4" s="6"/>
    </row>
    <row r="5" spans="2:13" ht="15.75" customHeight="1" thickBot="1" x14ac:dyDescent="0.3">
      <c r="B5" s="5"/>
      <c r="C5" s="242" t="s">
        <v>191</v>
      </c>
      <c r="D5" s="243"/>
      <c r="E5" s="243"/>
      <c r="F5" s="243"/>
      <c r="G5" s="243"/>
      <c r="H5" s="243"/>
      <c r="I5" s="243"/>
      <c r="J5" s="244"/>
      <c r="K5" s="6"/>
    </row>
    <row r="6" spans="2:13" ht="15.75" customHeight="1" x14ac:dyDescent="0.25">
      <c r="B6" s="5"/>
      <c r="C6" s="2"/>
      <c r="D6" s="127"/>
      <c r="E6" s="127"/>
      <c r="F6" s="127"/>
      <c r="G6" s="127"/>
      <c r="H6" s="127"/>
      <c r="I6" s="127"/>
      <c r="J6" s="215"/>
      <c r="K6" s="6"/>
    </row>
    <row r="7" spans="2:13" ht="15.75" customHeight="1" x14ac:dyDescent="0.25">
      <c r="B7" s="5"/>
      <c r="C7" s="5"/>
      <c r="D7" s="71"/>
      <c r="E7" s="71"/>
      <c r="F7" s="72" t="s">
        <v>25</v>
      </c>
      <c r="G7" s="72" t="s">
        <v>26</v>
      </c>
      <c r="H7" s="72" t="s">
        <v>27</v>
      </c>
      <c r="I7" s="72" t="s">
        <v>28</v>
      </c>
      <c r="J7" s="216"/>
      <c r="K7" s="6"/>
    </row>
    <row r="8" spans="2:13" ht="15.75" customHeight="1" x14ac:dyDescent="0.25">
      <c r="B8" s="5"/>
      <c r="C8" s="5"/>
      <c r="D8" s="68"/>
      <c r="E8" s="68"/>
      <c r="F8" s="69"/>
      <c r="G8" s="69"/>
      <c r="H8" s="69"/>
      <c r="I8" s="69"/>
      <c r="J8" s="216"/>
      <c r="K8" s="6"/>
    </row>
    <row r="9" spans="2:13" ht="15.75" customHeight="1" x14ac:dyDescent="0.25">
      <c r="B9" s="5"/>
      <c r="C9" s="5"/>
      <c r="D9" s="208" t="s">
        <v>189</v>
      </c>
      <c r="E9" s="208"/>
      <c r="F9" s="81"/>
      <c r="G9" s="81"/>
      <c r="H9" s="81"/>
      <c r="I9" s="81"/>
      <c r="J9" s="217"/>
      <c r="K9" s="6"/>
    </row>
    <row r="10" spans="2:13" ht="15.75" customHeight="1" x14ac:dyDescent="0.25">
      <c r="B10" s="5"/>
      <c r="C10" s="5"/>
      <c r="D10" s="68"/>
      <c r="E10" s="68"/>
      <c r="F10" s="69"/>
      <c r="G10" s="69"/>
      <c r="H10" s="69"/>
      <c r="I10" s="69"/>
      <c r="J10" s="216"/>
      <c r="K10" s="6"/>
    </row>
    <row r="11" spans="2:13" ht="15.75" customHeight="1" x14ac:dyDescent="0.25">
      <c r="B11" s="5"/>
      <c r="C11" s="5"/>
      <c r="D11" s="70" t="s">
        <v>180</v>
      </c>
      <c r="E11" s="70"/>
      <c r="F11" s="81"/>
      <c r="G11" s="81"/>
      <c r="H11" s="81"/>
      <c r="I11" s="81"/>
      <c r="J11" s="217"/>
      <c r="K11" s="6"/>
    </row>
    <row r="12" spans="2:13" ht="15.75" customHeight="1" x14ac:dyDescent="0.25">
      <c r="B12" s="5"/>
      <c r="C12" s="5"/>
      <c r="D12" s="70" t="s">
        <v>185</v>
      </c>
      <c r="E12" s="70"/>
      <c r="F12" s="81"/>
      <c r="G12" s="81"/>
      <c r="H12" s="81"/>
      <c r="I12" s="81"/>
      <c r="J12" s="217"/>
      <c r="K12" s="6"/>
    </row>
    <row r="13" spans="2:13" ht="15.75" customHeight="1" x14ac:dyDescent="0.25">
      <c r="B13" s="5"/>
      <c r="C13" s="5"/>
      <c r="D13" s="70" t="s">
        <v>186</v>
      </c>
      <c r="E13" s="70"/>
      <c r="F13" s="81"/>
      <c r="G13" s="81"/>
      <c r="H13" s="81"/>
      <c r="I13" s="81"/>
      <c r="J13" s="217"/>
      <c r="K13" s="6"/>
    </row>
    <row r="14" spans="2:13" ht="15.75" customHeight="1" x14ac:dyDescent="0.25">
      <c r="B14" s="5"/>
      <c r="C14" s="5"/>
      <c r="D14" s="70" t="s">
        <v>187</v>
      </c>
      <c r="E14" s="70"/>
      <c r="F14" s="86"/>
      <c r="G14" s="86"/>
      <c r="H14" s="86"/>
      <c r="I14" s="86"/>
      <c r="J14" s="217"/>
      <c r="K14" s="6"/>
    </row>
    <row r="15" spans="2:13" ht="15.75" customHeight="1" x14ac:dyDescent="0.25">
      <c r="B15" s="5"/>
      <c r="C15" s="5"/>
      <c r="D15" s="74" t="s">
        <v>188</v>
      </c>
      <c r="E15" s="74"/>
      <c r="F15" s="107"/>
      <c r="G15" s="107"/>
      <c r="H15" s="107"/>
      <c r="I15" s="107"/>
      <c r="J15" s="218"/>
      <c r="K15" s="6"/>
    </row>
    <row r="16" spans="2:13" ht="15.75" customHeight="1" x14ac:dyDescent="0.25">
      <c r="B16" s="5"/>
      <c r="C16" s="5"/>
      <c r="D16" s="68"/>
      <c r="E16" s="68"/>
      <c r="F16" s="67"/>
      <c r="G16" s="67"/>
      <c r="H16" s="67"/>
      <c r="I16" s="67"/>
      <c r="J16" s="219"/>
      <c r="K16" s="6"/>
    </row>
    <row r="17" spans="2:11" ht="15.75" customHeight="1" x14ac:dyDescent="0.25">
      <c r="B17" s="5"/>
      <c r="C17" s="5"/>
      <c r="D17" s="143" t="s">
        <v>190</v>
      </c>
      <c r="E17" s="143"/>
      <c r="F17" s="209"/>
      <c r="G17" s="209"/>
      <c r="H17" s="209"/>
      <c r="I17" s="209"/>
      <c r="J17" s="218"/>
      <c r="K17" s="6"/>
    </row>
    <row r="18" spans="2:11" ht="15.75" customHeight="1" thickBot="1" x14ac:dyDescent="0.3">
      <c r="B18" s="5"/>
      <c r="C18" s="14"/>
      <c r="D18" s="15"/>
      <c r="E18" s="15"/>
      <c r="F18" s="15"/>
      <c r="G18" s="15"/>
      <c r="H18" s="15"/>
      <c r="I18" s="15"/>
      <c r="J18" s="220"/>
      <c r="K18" s="6"/>
    </row>
    <row r="19" spans="2:11" ht="15.75" customHeight="1" thickBot="1" x14ac:dyDescent="0.3">
      <c r="B19" s="5"/>
      <c r="K19" s="6"/>
    </row>
    <row r="20" spans="2:11" ht="15.75" customHeight="1" thickBot="1" x14ac:dyDescent="0.3">
      <c r="B20" s="5"/>
      <c r="C20" s="245" t="s">
        <v>192</v>
      </c>
      <c r="D20" s="246"/>
      <c r="E20" s="246"/>
      <c r="F20" s="246"/>
      <c r="G20" s="246"/>
      <c r="H20" s="246"/>
      <c r="I20" s="246"/>
      <c r="J20" s="247"/>
      <c r="K20" s="6"/>
    </row>
    <row r="21" spans="2:11" ht="15.75" customHeight="1" x14ac:dyDescent="0.25">
      <c r="B21" s="5"/>
      <c r="C21" s="2"/>
      <c r="D21" s="3"/>
      <c r="E21" s="3"/>
      <c r="F21" s="3"/>
      <c r="G21" s="3"/>
      <c r="H21" s="3"/>
      <c r="I21" s="3"/>
      <c r="J21" s="4"/>
      <c r="K21" s="6"/>
    </row>
    <row r="22" spans="2:11" ht="15.75" customHeight="1" x14ac:dyDescent="0.25">
      <c r="B22" s="5"/>
      <c r="C22" s="5"/>
      <c r="D22" s="71"/>
      <c r="E22" s="71"/>
      <c r="F22" s="72" t="s">
        <v>25</v>
      </c>
      <c r="G22" s="72" t="s">
        <v>26</v>
      </c>
      <c r="H22" s="72" t="s">
        <v>27</v>
      </c>
      <c r="I22" s="72" t="s">
        <v>28</v>
      </c>
      <c r="J22" s="6"/>
      <c r="K22" s="6"/>
    </row>
    <row r="23" spans="2:11" ht="15.75" customHeight="1" x14ac:dyDescent="0.25">
      <c r="B23" s="5"/>
      <c r="C23" s="5"/>
      <c r="F23" s="69"/>
      <c r="G23" s="69"/>
      <c r="H23" s="69"/>
      <c r="I23" s="69"/>
      <c r="J23" s="6"/>
      <c r="K23" s="6"/>
    </row>
    <row r="24" spans="2:11" ht="15.75" customHeight="1" x14ac:dyDescent="0.25">
      <c r="B24" s="5"/>
      <c r="C24" s="5"/>
      <c r="D24" s="70" t="s">
        <v>180</v>
      </c>
      <c r="F24" s="211"/>
      <c r="G24" s="211"/>
      <c r="H24" s="211"/>
      <c r="I24" s="211"/>
      <c r="J24" s="6"/>
      <c r="K24" s="6"/>
    </row>
    <row r="25" spans="2:11" ht="15.75" customHeight="1" x14ac:dyDescent="0.25">
      <c r="B25" s="5"/>
      <c r="C25" s="5"/>
      <c r="D25" s="70" t="s">
        <v>185</v>
      </c>
      <c r="F25" s="211"/>
      <c r="G25" s="211"/>
      <c r="H25" s="211"/>
      <c r="I25" s="211"/>
      <c r="J25" s="6"/>
      <c r="K25" s="6"/>
    </row>
    <row r="26" spans="2:11" ht="15.75" customHeight="1" x14ac:dyDescent="0.25">
      <c r="B26" s="5"/>
      <c r="C26" s="5"/>
      <c r="D26" s="70" t="s">
        <v>186</v>
      </c>
      <c r="F26" s="211"/>
      <c r="G26" s="211"/>
      <c r="H26" s="211"/>
      <c r="I26" s="211"/>
      <c r="J26" s="6"/>
      <c r="K26" s="6"/>
    </row>
    <row r="27" spans="2:11" ht="15.75" customHeight="1" x14ac:dyDescent="0.25">
      <c r="B27" s="5"/>
      <c r="C27" s="5"/>
      <c r="D27" s="70" t="s">
        <v>187</v>
      </c>
      <c r="F27" s="211"/>
      <c r="G27" s="211"/>
      <c r="H27" s="211"/>
      <c r="I27" s="211"/>
      <c r="J27" s="6"/>
      <c r="K27" s="6"/>
    </row>
    <row r="28" spans="2:11" ht="15.75" customHeight="1" x14ac:dyDescent="0.25">
      <c r="B28" s="5"/>
      <c r="C28" s="5"/>
      <c r="D28" s="143" t="s">
        <v>188</v>
      </c>
      <c r="E28" s="20"/>
      <c r="F28" s="222"/>
      <c r="G28" s="222"/>
      <c r="H28" s="222"/>
      <c r="I28" s="222"/>
      <c r="J28" s="6"/>
      <c r="K28" s="6"/>
    </row>
    <row r="29" spans="2:11" ht="15.75" customHeight="1" thickBot="1" x14ac:dyDescent="0.3">
      <c r="B29" s="5"/>
      <c r="C29" s="14"/>
      <c r="D29" s="15"/>
      <c r="E29" s="15"/>
      <c r="F29" s="223"/>
      <c r="G29" s="223"/>
      <c r="H29" s="223"/>
      <c r="I29" s="223"/>
      <c r="J29" s="16"/>
      <c r="K29" s="6"/>
    </row>
    <row r="30" spans="2:11" ht="15.75" customHeight="1" thickBot="1" x14ac:dyDescent="0.3">
      <c r="B30" s="14"/>
      <c r="C30" s="15"/>
      <c r="D30" s="15"/>
      <c r="E30" s="15"/>
      <c r="F30" s="225"/>
      <c r="G30" s="225"/>
      <c r="H30" s="225"/>
      <c r="I30" s="225"/>
      <c r="J30" s="221"/>
      <c r="K30" s="16"/>
    </row>
    <row r="31" spans="2:11" ht="15.75" customHeight="1" x14ac:dyDescent="0.25">
      <c r="F31" s="210"/>
      <c r="G31" s="210"/>
      <c r="H31" s="210"/>
      <c r="I31" s="210"/>
    </row>
  </sheetData>
  <mergeCells count="3">
    <mergeCell ref="C5:J5"/>
    <mergeCell ref="C20:J20"/>
    <mergeCell ref="C3:J3"/>
  </mergeCells>
  <hyperlinks>
    <hyperlink ref="M3" location="'Table of Content'!A1" display="Return to TOC" xr:uid="{45AAD56E-8669-474A-8147-EA3E785D6EDB}"/>
  </hyperlinks>
  <pageMargins left="0.2" right="0.2" top="0.25" bottom="0.2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</vt:lpstr>
      <vt:lpstr>Aramco</vt:lpstr>
      <vt:lpstr>Chevron</vt:lpstr>
      <vt:lpstr>Exxon</vt:lpstr>
      <vt:lpstr>Oxy</vt:lpstr>
      <vt:lpstr>Exhibit A2</vt:lpstr>
      <vt:lpstr>Exhibit A3</vt:lpstr>
      <vt:lpstr>Exhibit A4</vt:lpstr>
      <vt:lpstr>Exhibit B1</vt:lpstr>
      <vt:lpstr>Exhibit B4</vt:lpstr>
      <vt:lpstr>Questions A4 and A6</vt:lpstr>
      <vt:lpstr>Question A5</vt:lpstr>
      <vt:lpstr>Question A7</vt:lpstr>
      <vt:lpstr>Questions A8 and A9</vt:lpstr>
      <vt:lpstr>Questions A10 and A11</vt:lpstr>
      <vt:lpstr>Question B3</vt:lpstr>
      <vt:lpstr>Questions B5 and B6</vt:lpstr>
      <vt:lpstr>Question B7</vt:lpstr>
      <vt:lpstr>Question B9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Pecherot</dc:creator>
  <cp:lastModifiedBy>Barbara Pecherot</cp:lastModifiedBy>
  <cp:lastPrinted>2025-09-12T16:24:03Z</cp:lastPrinted>
  <dcterms:created xsi:type="dcterms:W3CDTF">2023-09-14T21:37:12Z</dcterms:created>
  <dcterms:modified xsi:type="dcterms:W3CDTF">2025-11-19T20:36:08Z</dcterms:modified>
</cp:coreProperties>
</file>