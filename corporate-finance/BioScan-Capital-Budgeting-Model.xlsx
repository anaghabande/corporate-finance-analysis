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etitt\ASU Dropbox\Barbara Petitt\Degree Programs\TGM 517\1 Fall 2025\Sessions\Session 8\"/>
    </mc:Choice>
  </mc:AlternateContent>
  <xr:revisionPtr revIDLastSave="0" documentId="13_ncr:1_{D5700FC8-A92A-4A18-A07F-41494D4104E3}" xr6:coauthVersionLast="36" xr6:coauthVersionMax="36" xr10:uidLastSave="{00000000-0000-0000-0000-000000000000}"/>
  <bookViews>
    <workbookView xWindow="0" yWindow="0" windowWidth="19200" windowHeight="6930" tabRatio="570" xr2:uid="{262C1E6F-9BA9-432D-BD19-319BECA41D03}"/>
  </bookViews>
  <sheets>
    <sheet name="Baseline Scenario" sheetId="1" r:id="rId1"/>
    <sheet name="Cash Cost Scenar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8" i="2" l="1"/>
  <c r="Q38" i="2"/>
  <c r="P38" i="2"/>
  <c r="O38" i="2"/>
  <c r="N38" i="2"/>
  <c r="R34" i="2"/>
  <c r="Q34" i="2"/>
  <c r="P34" i="2"/>
  <c r="N31" i="2"/>
  <c r="R30" i="2"/>
  <c r="R39" i="2" s="1"/>
  <c r="Q30" i="2"/>
  <c r="Q39" i="2" s="1"/>
  <c r="P30" i="2"/>
  <c r="P33" i="2" s="1"/>
  <c r="O30" i="2"/>
  <c r="O33" i="2" s="1"/>
  <c r="N30" i="2"/>
  <c r="N39" i="2" s="1"/>
  <c r="R22" i="2"/>
  <c r="M20" i="2"/>
  <c r="M62" i="2" s="1"/>
  <c r="N32" i="2" l="1"/>
  <c r="N53" i="2" s="1"/>
  <c r="Q33" i="2"/>
  <c r="O39" i="2"/>
  <c r="R33" i="2"/>
  <c r="P39" i="2"/>
  <c r="N34" i="2"/>
  <c r="O34" i="2"/>
  <c r="O54" i="2" s="1"/>
  <c r="N44" i="2"/>
  <c r="N48" i="2" s="1"/>
  <c r="P44" i="2"/>
  <c r="P48" i="2" s="1"/>
  <c r="R44" i="2"/>
  <c r="R48" i="2" s="1"/>
  <c r="O44" i="2"/>
  <c r="O48" i="2" s="1"/>
  <c r="Q44" i="2"/>
  <c r="Q48" i="2" s="1"/>
  <c r="O31" i="2"/>
  <c r="P31" i="2" s="1"/>
  <c r="P32" i="2" s="1"/>
  <c r="O35" i="2"/>
  <c r="N33" i="2"/>
  <c r="P35" i="2"/>
  <c r="P54" i="2" s="1"/>
  <c r="Q35" i="2"/>
  <c r="Q55" i="2" s="1"/>
  <c r="N35" i="2"/>
  <c r="R35" i="2"/>
  <c r="R54" i="2" s="1"/>
  <c r="N41" i="1"/>
  <c r="O41" i="1"/>
  <c r="P41" i="1"/>
  <c r="Q41" i="1"/>
  <c r="R41" i="1"/>
  <c r="N42" i="1"/>
  <c r="O42" i="1"/>
  <c r="P42" i="1"/>
  <c r="N43" i="1"/>
  <c r="P43" i="1"/>
  <c r="R22" i="1"/>
  <c r="M20" i="1"/>
  <c r="M62" i="1" s="1"/>
  <c r="O38" i="1"/>
  <c r="P38" i="1"/>
  <c r="Q38" i="1"/>
  <c r="R38" i="1"/>
  <c r="R39" i="1"/>
  <c r="N38" i="1"/>
  <c r="R35" i="1"/>
  <c r="R34" i="1"/>
  <c r="N34" i="1"/>
  <c r="N31" i="1"/>
  <c r="O30" i="1"/>
  <c r="O34" i="1" s="1"/>
  <c r="P30" i="1"/>
  <c r="Q30" i="1"/>
  <c r="Q43" i="1" s="1"/>
  <c r="R30" i="1"/>
  <c r="R43" i="1" s="1"/>
  <c r="N30" i="1"/>
  <c r="N35" i="1" s="1"/>
  <c r="P55" i="2" l="1"/>
  <c r="O55" i="2"/>
  <c r="R23" i="2"/>
  <c r="R24" i="2" s="1"/>
  <c r="R25" i="2" s="1"/>
  <c r="R26" i="2" s="1"/>
  <c r="R63" i="2" s="1"/>
  <c r="Q31" i="2"/>
  <c r="Q32" i="2" s="1"/>
  <c r="O32" i="2"/>
  <c r="O36" i="2" s="1"/>
  <c r="N36" i="2"/>
  <c r="N45" i="2" s="1"/>
  <c r="N54" i="2"/>
  <c r="N56" i="2" s="1"/>
  <c r="N55" i="2"/>
  <c r="Q54" i="2"/>
  <c r="R55" i="2"/>
  <c r="P36" i="2"/>
  <c r="P53" i="2"/>
  <c r="P56" i="2" s="1"/>
  <c r="N32" i="1"/>
  <c r="N40" i="1" s="1"/>
  <c r="N33" i="1"/>
  <c r="N55" i="1" s="1"/>
  <c r="R33" i="1"/>
  <c r="R55" i="1" s="1"/>
  <c r="Q35" i="1"/>
  <c r="O43" i="1"/>
  <c r="P35" i="1"/>
  <c r="Q34" i="1"/>
  <c r="Q44" i="1"/>
  <c r="Q48" i="1" s="1"/>
  <c r="P39" i="1"/>
  <c r="N44" i="1"/>
  <c r="P44" i="1"/>
  <c r="P48" i="1" s="1"/>
  <c r="Q33" i="1"/>
  <c r="O35" i="1"/>
  <c r="O31" i="1"/>
  <c r="P33" i="1"/>
  <c r="O33" i="1"/>
  <c r="Q39" i="1"/>
  <c r="O39" i="1"/>
  <c r="O44" i="1"/>
  <c r="O48" i="1" s="1"/>
  <c r="R44" i="1"/>
  <c r="R48" i="1" s="1"/>
  <c r="P34" i="1"/>
  <c r="N39" i="1"/>
  <c r="R31" i="2" l="1"/>
  <c r="R32" i="2" s="1"/>
  <c r="R53" i="2" s="1"/>
  <c r="R56" i="2" s="1"/>
  <c r="R57" i="2" s="1"/>
  <c r="R64" i="2" s="1"/>
  <c r="P45" i="2"/>
  <c r="P46" i="2" s="1"/>
  <c r="O53" i="2"/>
  <c r="O56" i="2" s="1"/>
  <c r="O57" i="2" s="1"/>
  <c r="O64" i="2" s="1"/>
  <c r="Q53" i="2"/>
  <c r="Q56" i="2" s="1"/>
  <c r="Q36" i="2"/>
  <c r="Q45" i="2" s="1"/>
  <c r="O45" i="2"/>
  <c r="M57" i="2"/>
  <c r="M64" i="2" s="1"/>
  <c r="M65" i="2" s="1"/>
  <c r="N46" i="2"/>
  <c r="N47" i="2" s="1"/>
  <c r="N49" i="2" s="1"/>
  <c r="N61" i="2" s="1"/>
  <c r="R23" i="1"/>
  <c r="R24" i="1" s="1"/>
  <c r="R54" i="1"/>
  <c r="N54" i="1"/>
  <c r="N53" i="1"/>
  <c r="N56" i="1" s="1"/>
  <c r="N36" i="1"/>
  <c r="N45" i="1" s="1"/>
  <c r="N46" i="1" s="1"/>
  <c r="N47" i="1" s="1"/>
  <c r="R25" i="1"/>
  <c r="R26" i="1" s="1"/>
  <c r="R63" i="1" s="1"/>
  <c r="P55" i="1"/>
  <c r="P54" i="1"/>
  <c r="O55" i="1"/>
  <c r="O54" i="1"/>
  <c r="Q55" i="1"/>
  <c r="Q54" i="1"/>
  <c r="P31" i="1"/>
  <c r="O32" i="1"/>
  <c r="N48" i="1"/>
  <c r="R36" i="2" l="1"/>
  <c r="R45" i="2" s="1"/>
  <c r="R46" i="2" s="1"/>
  <c r="R47" i="2" s="1"/>
  <c r="R49" i="2" s="1"/>
  <c r="R61" i="2" s="1"/>
  <c r="R65" i="2" s="1"/>
  <c r="N57" i="2"/>
  <c r="N64" i="2" s="1"/>
  <c r="N65" i="2" s="1"/>
  <c r="P47" i="2"/>
  <c r="P49" i="2" s="1"/>
  <c r="P61" i="2" s="1"/>
  <c r="O46" i="2"/>
  <c r="O47" i="2"/>
  <c r="O49" i="2" s="1"/>
  <c r="O61" i="2" s="1"/>
  <c r="O65" i="2" s="1"/>
  <c r="Q46" i="2"/>
  <c r="Q47" i="2" s="1"/>
  <c r="Q49" i="2" s="1"/>
  <c r="Q61" i="2" s="1"/>
  <c r="Q57" i="2"/>
  <c r="Q64" i="2" s="1"/>
  <c r="P57" i="2"/>
  <c r="P64" i="2" s="1"/>
  <c r="N49" i="1"/>
  <c r="N61" i="1" s="1"/>
  <c r="Q31" i="1"/>
  <c r="P32" i="1"/>
  <c r="M57" i="1"/>
  <c r="M64" i="1" s="1"/>
  <c r="M65" i="1" s="1"/>
  <c r="O40" i="1"/>
  <c r="O53" i="1"/>
  <c r="O56" i="1" s="1"/>
  <c r="O36" i="1"/>
  <c r="P65" i="2" l="1"/>
  <c r="Q65" i="2"/>
  <c r="O45" i="1"/>
  <c r="O46" i="1" s="1"/>
  <c r="P36" i="1"/>
  <c r="P40" i="1"/>
  <c r="P53" i="1"/>
  <c r="P56" i="1" s="1"/>
  <c r="O57" i="1" s="1"/>
  <c r="O64" i="1" s="1"/>
  <c r="N57" i="1"/>
  <c r="N64" i="1" s="1"/>
  <c r="N65" i="1" s="1"/>
  <c r="R31" i="1"/>
  <c r="R32" i="1" s="1"/>
  <c r="Q32" i="1"/>
  <c r="M7" i="2" l="1"/>
  <c r="M5" i="2"/>
  <c r="M9" i="2"/>
  <c r="Q36" i="1"/>
  <c r="Q53" i="1"/>
  <c r="Q56" i="1" s="1"/>
  <c r="P57" i="1" s="1"/>
  <c r="P64" i="1" s="1"/>
  <c r="Q40" i="1"/>
  <c r="R53" i="1"/>
  <c r="R56" i="1" s="1"/>
  <c r="R57" i="1" s="1"/>
  <c r="R64" i="1" s="1"/>
  <c r="R36" i="1"/>
  <c r="R40" i="1"/>
  <c r="P45" i="1"/>
  <c r="O47" i="1"/>
  <c r="O49" i="1" s="1"/>
  <c r="O61" i="1" s="1"/>
  <c r="O65" i="1" s="1"/>
  <c r="P46" i="1" l="1"/>
  <c r="Q57" i="1"/>
  <c r="Q64" i="1" s="1"/>
  <c r="Q45" i="1"/>
  <c r="R45" i="1"/>
  <c r="R46" i="1" l="1"/>
  <c r="R47" i="1" s="1"/>
  <c r="R49" i="1" s="1"/>
  <c r="R61" i="1" s="1"/>
  <c r="R65" i="1" s="1"/>
  <c r="P47" i="1"/>
  <c r="P49" i="1" s="1"/>
  <c r="P61" i="1" s="1"/>
  <c r="P65" i="1" s="1"/>
  <c r="Q46" i="1"/>
  <c r="Q47" i="1" s="1"/>
  <c r="Q49" i="1" s="1"/>
  <c r="Q61" i="1" s="1"/>
  <c r="Q65" i="1" s="1"/>
  <c r="M9" i="1" l="1"/>
  <c r="M7" i="1"/>
  <c r="M5" i="1"/>
  <c r="V36" i="1" s="1"/>
  <c r="V26" i="1" l="1"/>
  <c r="W7" i="1"/>
  <c r="W16" i="1"/>
</calcChain>
</file>

<file path=xl/sharedStrings.xml><?xml version="1.0" encoding="utf-8"?>
<sst xmlns="http://schemas.openxmlformats.org/spreadsheetml/2006/main" count="223" uniqueCount="80">
  <si>
    <t>Price</t>
  </si>
  <si>
    <t>Volume</t>
  </si>
  <si>
    <t>Year 1</t>
  </si>
  <si>
    <t>Year 2</t>
  </si>
  <si>
    <t>Year 3</t>
  </si>
  <si>
    <t>Year 4</t>
  </si>
  <si>
    <t>Year 5</t>
  </si>
  <si>
    <t>Growth Rate</t>
  </si>
  <si>
    <t>Building K</t>
  </si>
  <si>
    <t>Initial Price per Unit</t>
  </si>
  <si>
    <t>Growth Rate in Price</t>
  </si>
  <si>
    <t>Components</t>
  </si>
  <si>
    <t>Cost per Unit</t>
  </si>
  <si>
    <t>Number of Hours per Worker</t>
  </si>
  <si>
    <t>Tax Rate</t>
  </si>
  <si>
    <t>Hurdle Rate</t>
  </si>
  <si>
    <t>Calculations</t>
  </si>
  <si>
    <t>Sales</t>
  </si>
  <si>
    <t>Year</t>
  </si>
  <si>
    <t>Gross Profit</t>
  </si>
  <si>
    <t>Operating Profit</t>
  </si>
  <si>
    <t>Tax</t>
  </si>
  <si>
    <t>Depreciation</t>
  </si>
  <si>
    <t>Operating Cash Flow</t>
  </si>
  <si>
    <t>Net Working Capital</t>
  </si>
  <si>
    <t>Change in Net Working Capital</t>
  </si>
  <si>
    <t>Capital Expenditure</t>
  </si>
  <si>
    <t>Free Cash Flow</t>
  </si>
  <si>
    <t>Price per Unit</t>
  </si>
  <si>
    <t>Net Present Value (NPV)</t>
  </si>
  <si>
    <t>Internal Rate of Return (IRR)</t>
  </si>
  <si>
    <t>Inputs</t>
  </si>
  <si>
    <t>Outputs</t>
  </si>
  <si>
    <t>Resale Value</t>
  </si>
  <si>
    <t>Market Study</t>
  </si>
  <si>
    <t>Manufacturing Costs</t>
  </si>
  <si>
    <t>Delivery Costs</t>
  </si>
  <si>
    <t>Working Capital Requirements</t>
  </si>
  <si>
    <t>Internal Carbon Price</t>
  </si>
  <si>
    <t>Initial Shadow Price</t>
  </si>
  <si>
    <t>Sales and Marketing Costs</t>
  </si>
  <si>
    <t>Inventory</t>
  </si>
  <si>
    <t>Before-Tax Resale Value</t>
  </si>
  <si>
    <t>Book Value</t>
  </si>
  <si>
    <t>Capital Gain</t>
  </si>
  <si>
    <t>After-Tax Resale Value</t>
  </si>
  <si>
    <t>Operating Profit Margin</t>
  </si>
  <si>
    <t>Lease Income</t>
  </si>
  <si>
    <t>Production Costs</t>
  </si>
  <si>
    <t>Labor Costs</t>
  </si>
  <si>
    <t>Annual Production Volume (APV) Threshold</t>
  </si>
  <si>
    <t>Number of Workers below the APV Threshold</t>
  </si>
  <si>
    <t>Number of Workers above the APV Threshold</t>
  </si>
  <si>
    <t>Accounts Receivable</t>
  </si>
  <si>
    <t>Accounts Payable</t>
  </si>
  <si>
    <t>Capital Costs</t>
  </si>
  <si>
    <t>Equipment and Installation Cost</t>
  </si>
  <si>
    <t>Life</t>
  </si>
  <si>
    <t>Fully-Loaded Cost per Hour</t>
  </si>
  <si>
    <t>Shadow Price Increase per Year</t>
  </si>
  <si>
    <t>Potential Loss of Lease Income</t>
  </si>
  <si>
    <t>Cannibalization of the Existing Product</t>
  </si>
  <si>
    <t>Contingency for the Capital Costs</t>
  </si>
  <si>
    <t>Bioscan's Carbon Footprint</t>
  </si>
  <si>
    <t>Sales Drop</t>
  </si>
  <si>
    <t>General and Administrative (G&amp;A) Charge for Shared Services</t>
  </si>
  <si>
    <t>G&amp;A Charge for Shared Services</t>
  </si>
  <si>
    <t>Sensitivity Analysis</t>
  </si>
  <si>
    <t>IRR = f (Initial Price per Unit)</t>
  </si>
  <si>
    <t>IRR = f (Growth Rate in Price)</t>
  </si>
  <si>
    <t>IRR = f (Initial Price per Unit and Growth Rate in Price)</t>
  </si>
  <si>
    <t>NPV = f (Growth Rate in Price and Cost of Capital)</t>
  </si>
  <si>
    <t>Days Sales Outstanding (DSO)</t>
  </si>
  <si>
    <t>Days Inventory Outstanding (DIO)</t>
  </si>
  <si>
    <t>Days Payable Outstanding (DPO)</t>
  </si>
  <si>
    <t>Capital Equipment</t>
  </si>
  <si>
    <t>Operating Cash Flows</t>
  </si>
  <si>
    <t>Free Cash Flows</t>
  </si>
  <si>
    <t>Profitability Index (PI)</t>
  </si>
  <si>
    <t>Net Operating Profit After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</si>
</sst>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&quot;$&quot;#,##0;\(&quot;$&quot;#,##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B0F0"/>
      <name val="Times New Roman"/>
      <family val="1"/>
    </font>
    <font>
      <b/>
      <sz val="12"/>
      <color rgb="FFFF0000"/>
      <name val="Times New Roman"/>
      <family val="1"/>
    </font>
    <font>
      <b/>
      <u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70C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3" fontId="2" fillId="3" borderId="0" xfId="0" applyNumberFormat="1" applyFont="1" applyFill="1" applyBorder="1" applyProtection="1">
      <protection locked="0"/>
    </xf>
    <xf numFmtId="165" fontId="2" fillId="3" borderId="1" xfId="0" applyNumberFormat="1" applyFont="1" applyFill="1" applyBorder="1" applyProtection="1">
      <protection locked="0"/>
    </xf>
    <xf numFmtId="164" fontId="3" fillId="3" borderId="0" xfId="0" applyNumberFormat="1" applyFont="1" applyFill="1" applyBorder="1" applyProtection="1">
      <protection locked="0"/>
    </xf>
    <xf numFmtId="164" fontId="2" fillId="3" borderId="0" xfId="0" applyNumberFormat="1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2" fillId="2" borderId="0" xfId="0" applyFont="1" applyFill="1" applyBorder="1" applyProtection="1"/>
    <xf numFmtId="0" fontId="2" fillId="2" borderId="0" xfId="0" applyFont="1" applyFill="1" applyProtection="1"/>
    <xf numFmtId="0" fontId="2" fillId="2" borderId="2" xfId="0" applyFont="1" applyFill="1" applyBorder="1" applyProtection="1"/>
    <xf numFmtId="0" fontId="2" fillId="2" borderId="3" xfId="0" applyFont="1" applyFill="1" applyBorder="1" applyProtection="1"/>
    <xf numFmtId="0" fontId="2" fillId="2" borderId="4" xfId="0" applyFont="1" applyFill="1" applyBorder="1" applyProtection="1"/>
    <xf numFmtId="0" fontId="2" fillId="2" borderId="5" xfId="0" applyFont="1" applyFill="1" applyBorder="1" applyProtection="1"/>
    <xf numFmtId="0" fontId="2" fillId="2" borderId="6" xfId="0" applyFont="1" applyFill="1" applyBorder="1" applyProtection="1"/>
    <xf numFmtId="0" fontId="6" fillId="2" borderId="6" xfId="0" applyFont="1" applyFill="1" applyBorder="1" applyAlignment="1" applyProtection="1"/>
    <xf numFmtId="0" fontId="3" fillId="2" borderId="0" xfId="0" applyFont="1" applyFill="1" applyBorder="1" applyAlignment="1" applyProtection="1">
      <alignment horizontal="left" indent="1"/>
    </xf>
    <xf numFmtId="0" fontId="4" fillId="2" borderId="6" xfId="0" applyFont="1" applyFill="1" applyBorder="1" applyAlignment="1" applyProtection="1">
      <alignment horizontal="left" indent="1"/>
    </xf>
    <xf numFmtId="0" fontId="2" fillId="2" borderId="0" xfId="0" applyFont="1" applyFill="1" applyBorder="1" applyAlignment="1" applyProtection="1">
      <alignment horizontal="left" indent="1"/>
    </xf>
    <xf numFmtId="0" fontId="2" fillId="2" borderId="7" xfId="0" applyFont="1" applyFill="1" applyBorder="1" applyProtection="1"/>
    <xf numFmtId="0" fontId="2" fillId="2" borderId="8" xfId="0" applyFont="1" applyFill="1" applyBorder="1" applyProtection="1"/>
    <xf numFmtId="0" fontId="2" fillId="2" borderId="9" xfId="0" applyFont="1" applyFill="1" applyBorder="1" applyProtection="1"/>
    <xf numFmtId="0" fontId="2" fillId="2" borderId="6" xfId="0" applyFont="1" applyFill="1" applyBorder="1" applyAlignment="1" applyProtection="1">
      <alignment horizontal="right"/>
    </xf>
    <xf numFmtId="3" fontId="5" fillId="2" borderId="6" xfId="0" applyNumberFormat="1" applyFont="1" applyFill="1" applyBorder="1" applyProtection="1"/>
    <xf numFmtId="0" fontId="2" fillId="2" borderId="1" xfId="0" applyFont="1" applyFill="1" applyBorder="1" applyAlignment="1" applyProtection="1">
      <alignment horizontal="right"/>
    </xf>
    <xf numFmtId="0" fontId="3" fillId="2" borderId="0" xfId="0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7" fillId="2" borderId="0" xfId="0" applyFont="1" applyFill="1" applyBorder="1" applyProtection="1"/>
    <xf numFmtId="0" fontId="2" fillId="2" borderId="1" xfId="0" applyFont="1" applyFill="1" applyBorder="1" applyProtection="1"/>
    <xf numFmtId="0" fontId="3" fillId="2" borderId="0" xfId="0" applyFont="1" applyFill="1" applyBorder="1" applyProtection="1"/>
    <xf numFmtId="164" fontId="2" fillId="2" borderId="1" xfId="0" applyNumberFormat="1" applyFont="1" applyFill="1" applyBorder="1" applyProtection="1"/>
    <xf numFmtId="0" fontId="2" fillId="2" borderId="0" xfId="0" applyFont="1" applyFill="1" applyBorder="1" applyAlignment="1" applyProtection="1">
      <alignment horizontal="left" indent="2"/>
    </xf>
    <xf numFmtId="164" fontId="2" fillId="2" borderId="0" xfId="0" applyNumberFormat="1" applyFont="1" applyFill="1" applyBorder="1" applyProtection="1"/>
    <xf numFmtId="9" fontId="5" fillId="2" borderId="0" xfId="1" applyFont="1" applyFill="1" applyBorder="1" applyProtection="1"/>
    <xf numFmtId="164" fontId="3" fillId="2" borderId="0" xfId="0" applyNumberFormat="1" applyFont="1" applyFill="1" applyBorder="1" applyProtection="1"/>
    <xf numFmtId="164" fontId="5" fillId="2" borderId="6" xfId="0" applyNumberFormat="1" applyFont="1" applyFill="1" applyBorder="1" applyProtection="1"/>
    <xf numFmtId="166" fontId="8" fillId="0" borderId="0" xfId="0" applyNumberFormat="1" applyFont="1" applyFill="1" applyBorder="1" applyAlignment="1" applyProtection="1">
      <alignment horizontal="left"/>
    </xf>
    <xf numFmtId="166" fontId="8" fillId="0" borderId="0" xfId="0" applyNumberFormat="1" applyFont="1" applyFill="1" applyBorder="1" applyAlignment="1" applyProtection="1">
      <alignment horizontal="left" indent="1"/>
    </xf>
    <xf numFmtId="166" fontId="9" fillId="0" borderId="0" xfId="0" applyNumberFormat="1" applyFont="1" applyFill="1" applyBorder="1" applyAlignment="1" applyProtection="1">
      <alignment horizontal="left"/>
    </xf>
    <xf numFmtId="164" fontId="5" fillId="2" borderId="0" xfId="0" applyNumberFormat="1" applyFont="1" applyFill="1" applyBorder="1" applyProtection="1"/>
    <xf numFmtId="0" fontId="2" fillId="2" borderId="0" xfId="0" applyFont="1" applyFill="1" applyBorder="1" applyAlignment="1" applyProtection="1">
      <alignment horizontal="right"/>
    </xf>
    <xf numFmtId="0" fontId="2" fillId="0" borderId="0" xfId="0" applyFont="1" applyFill="1" applyBorder="1" applyProtection="1"/>
    <xf numFmtId="0" fontId="6" fillId="0" borderId="0" xfId="0" applyFont="1" applyFill="1" applyBorder="1" applyAlignment="1" applyProtection="1"/>
    <xf numFmtId="164" fontId="10" fillId="3" borderId="0" xfId="0" applyNumberFormat="1" applyFont="1" applyFill="1" applyBorder="1" applyProtection="1">
      <protection locked="0"/>
    </xf>
    <xf numFmtId="9" fontId="10" fillId="3" borderId="0" xfId="1" applyFont="1" applyFill="1" applyBorder="1" applyProtection="1">
      <protection locked="0"/>
    </xf>
    <xf numFmtId="3" fontId="10" fillId="3" borderId="0" xfId="0" applyNumberFormat="1" applyFont="1" applyFill="1" applyBorder="1" applyProtection="1">
      <protection locked="0"/>
    </xf>
    <xf numFmtId="0" fontId="10" fillId="3" borderId="0" xfId="0" applyFont="1" applyFill="1" applyBorder="1" applyProtection="1">
      <protection locked="0"/>
    </xf>
    <xf numFmtId="165" fontId="10" fillId="3" borderId="0" xfId="0" applyNumberFormat="1" applyFont="1" applyFill="1" applyBorder="1" applyProtection="1">
      <protection locked="0"/>
    </xf>
    <xf numFmtId="4" fontId="10" fillId="3" borderId="0" xfId="0" applyNumberFormat="1" applyFont="1" applyFill="1" applyBorder="1" applyProtection="1">
      <protection locked="0"/>
    </xf>
    <xf numFmtId="0" fontId="2" fillId="2" borderId="0" xfId="0" applyFont="1" applyFill="1" applyBorder="1" applyProtection="1">
      <protection locked="0"/>
    </xf>
    <xf numFmtId="10" fontId="6" fillId="3" borderId="0" xfId="0" applyNumberFormat="1" applyFont="1" applyFill="1" applyBorder="1" applyProtection="1">
      <protection locked="0"/>
    </xf>
    <xf numFmtId="4" fontId="6" fillId="3" borderId="0" xfId="0" applyNumberFormat="1" applyFont="1" applyFill="1" applyBorder="1" applyProtection="1"/>
    <xf numFmtId="164" fontId="6" fillId="3" borderId="0" xfId="0" applyNumberFormat="1" applyFont="1" applyFill="1" applyBorder="1" applyProtection="1"/>
    <xf numFmtId="164" fontId="2" fillId="0" borderId="0" xfId="0" applyNumberFormat="1" applyFont="1" applyFill="1" applyBorder="1" applyProtection="1">
      <protection locked="0"/>
    </xf>
    <xf numFmtId="10" fontId="2" fillId="2" borderId="1" xfId="0" applyNumberFormat="1" applyFont="1" applyFill="1" applyBorder="1" applyProtection="1"/>
    <xf numFmtId="9" fontId="2" fillId="0" borderId="0" xfId="1" applyFont="1" applyFill="1" applyBorder="1" applyProtection="1">
      <protection locked="0"/>
    </xf>
    <xf numFmtId="9" fontId="2" fillId="0" borderId="1" xfId="1" applyFont="1" applyFill="1" applyBorder="1" applyProtection="1">
      <protection locked="0"/>
    </xf>
    <xf numFmtId="10" fontId="2" fillId="2" borderId="0" xfId="0" applyNumberFormat="1" applyFont="1" applyFill="1" applyBorder="1" applyProtection="1"/>
    <xf numFmtId="164" fontId="2" fillId="0" borderId="1" xfId="0" applyNumberFormat="1" applyFont="1" applyFill="1" applyBorder="1" applyProtection="1">
      <protection locked="0"/>
    </xf>
    <xf numFmtId="9" fontId="2" fillId="2" borderId="0" xfId="0" applyNumberFormat="1" applyFont="1" applyFill="1" applyBorder="1" applyProtection="1"/>
    <xf numFmtId="9" fontId="10" fillId="4" borderId="0" xfId="1" applyFont="1" applyFill="1" applyBorder="1" applyProtection="1">
      <protection locked="0"/>
    </xf>
    <xf numFmtId="164" fontId="3" fillId="4" borderId="0" xfId="0" applyNumberFormat="1" applyFont="1" applyFill="1" applyBorder="1" applyProtection="1">
      <protection locked="0"/>
    </xf>
    <xf numFmtId="164" fontId="2" fillId="4" borderId="0" xfId="0" applyNumberFormat="1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left"/>
    </xf>
    <xf numFmtId="0" fontId="6" fillId="2" borderId="0" xfId="0" applyFont="1" applyFill="1" applyBorder="1" applyAlignment="1" applyProtection="1">
      <alignment horizontal="left"/>
    </xf>
    <xf numFmtId="0" fontId="6" fillId="0" borderId="0" xfId="0" applyFont="1" applyFill="1" applyBorder="1" applyAlignment="1" applyProtection="1">
      <alignment horizontal="left"/>
    </xf>
    <xf numFmtId="0" fontId="3" fillId="2" borderId="0" xfId="0" applyFont="1" applyFill="1" applyBorder="1" applyAlignment="1" applyProtection="1">
      <alignment horizontal="left"/>
    </xf>
  </cellXfs>
  <cellStyles count="2">
    <cellStyle name="Normal" xfId="0" builtinId="0"/>
    <cellStyle name="Percent" xfId="1" builtinId="5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7C8F-CEFD-42AA-94B8-8C28D6D2FDEB}">
  <sheetPr>
    <pageSetUpPr fitToPage="1"/>
  </sheetPr>
  <dimension ref="A1:AC85"/>
  <sheetViews>
    <sheetView showGridLines="0" tabSelected="1" zoomScale="70" zoomScaleNormal="70" workbookViewId="0">
      <selection activeCell="C3" sqref="C3:H3"/>
    </sheetView>
  </sheetViews>
  <sheetFormatPr defaultColWidth="12.7109375" defaultRowHeight="15.95" customHeight="1" x14ac:dyDescent="0.25"/>
  <cols>
    <col min="1" max="2" width="2.7109375" style="6" customWidth="1"/>
    <col min="3" max="3" width="60.7109375" style="6" customWidth="1"/>
    <col min="4" max="8" width="15.7109375" style="6" customWidth="1"/>
    <col min="9" max="9" width="2.7109375" style="6" customWidth="1"/>
    <col min="10" max="11" width="2.7109375" style="7" customWidth="1"/>
    <col min="12" max="12" width="60.7109375" style="7" customWidth="1"/>
    <col min="13" max="18" width="15.7109375" style="7" customWidth="1"/>
    <col min="19" max="21" width="2.7109375" style="7" customWidth="1"/>
    <col min="22" max="28" width="15.7109375" style="7" customWidth="1"/>
    <col min="29" max="29" width="2.7109375" style="7" customWidth="1"/>
    <col min="30" max="16384" width="12.7109375" style="7"/>
  </cols>
  <sheetData>
    <row r="1" spans="2:29" ht="15.95" customHeight="1" thickBot="1" x14ac:dyDescent="0.3"/>
    <row r="2" spans="2:29" ht="15.95" customHeight="1" x14ac:dyDescent="0.25">
      <c r="B2" s="8"/>
      <c r="C2" s="9"/>
      <c r="D2" s="9"/>
      <c r="E2" s="9"/>
      <c r="F2" s="9"/>
      <c r="G2" s="9"/>
      <c r="H2" s="9"/>
      <c r="I2" s="10"/>
      <c r="K2" s="8"/>
      <c r="L2" s="9"/>
      <c r="M2" s="9"/>
      <c r="N2" s="10"/>
      <c r="U2" s="8"/>
      <c r="V2" s="9"/>
      <c r="W2" s="9"/>
      <c r="X2" s="9"/>
      <c r="Y2" s="9"/>
      <c r="Z2" s="9"/>
      <c r="AA2" s="9"/>
      <c r="AB2" s="9"/>
      <c r="AC2" s="10"/>
    </row>
    <row r="3" spans="2:29" ht="15.95" customHeight="1" x14ac:dyDescent="0.25">
      <c r="B3" s="11"/>
      <c r="C3" s="62" t="s">
        <v>31</v>
      </c>
      <c r="D3" s="62"/>
      <c r="E3" s="62"/>
      <c r="F3" s="62"/>
      <c r="G3" s="62"/>
      <c r="H3" s="62"/>
      <c r="I3" s="12"/>
      <c r="K3" s="11"/>
      <c r="L3" s="62" t="s">
        <v>32</v>
      </c>
      <c r="M3" s="62"/>
      <c r="N3" s="13"/>
      <c r="U3" s="11"/>
      <c r="V3" s="62" t="s">
        <v>67</v>
      </c>
      <c r="W3" s="62"/>
      <c r="X3" s="62"/>
      <c r="Y3" s="62"/>
      <c r="Z3" s="62"/>
      <c r="AA3" s="62"/>
      <c r="AB3" s="62"/>
      <c r="AC3" s="12"/>
    </row>
    <row r="4" spans="2:29" ht="15.95" customHeight="1" x14ac:dyDescent="0.25">
      <c r="B4" s="11"/>
      <c r="I4" s="12"/>
      <c r="K4" s="11"/>
      <c r="L4" s="6"/>
      <c r="M4" s="6"/>
      <c r="N4" s="12"/>
      <c r="U4" s="11"/>
      <c r="V4" s="6"/>
      <c r="W4" s="6"/>
      <c r="X4" s="6"/>
      <c r="Y4" s="6"/>
      <c r="Z4" s="6"/>
      <c r="AA4" s="6"/>
      <c r="AB4" s="6"/>
      <c r="AC4" s="12"/>
    </row>
    <row r="5" spans="2:29" ht="15.95" customHeight="1" x14ac:dyDescent="0.25">
      <c r="B5" s="11"/>
      <c r="C5" s="6" t="s">
        <v>34</v>
      </c>
      <c r="D5" s="41">
        <v>125000</v>
      </c>
      <c r="I5" s="12"/>
      <c r="K5" s="11"/>
      <c r="L5" s="14" t="s">
        <v>29</v>
      </c>
      <c r="M5" s="50">
        <f>M65+NPV(D54,N65:R65)</f>
        <v>-775771.53324885666</v>
      </c>
      <c r="N5" s="12"/>
      <c r="U5" s="11"/>
      <c r="V5" s="64" t="s">
        <v>68</v>
      </c>
      <c r="W5" s="64"/>
      <c r="X5" s="64"/>
      <c r="Y5" s="64"/>
      <c r="Z5" s="64"/>
      <c r="AA5" s="64"/>
      <c r="AB5" s="64"/>
      <c r="AC5" s="12"/>
    </row>
    <row r="6" spans="2:29" ht="15.95" customHeight="1" x14ac:dyDescent="0.25">
      <c r="B6" s="11"/>
      <c r="I6" s="12"/>
      <c r="K6" s="11"/>
      <c r="L6" s="6"/>
      <c r="M6" s="6"/>
      <c r="N6" s="15"/>
      <c r="U6" s="11"/>
      <c r="V6" s="6"/>
      <c r="W6" s="6"/>
      <c r="X6" s="6"/>
      <c r="Y6" s="6"/>
      <c r="Z6" s="6"/>
      <c r="AA6" s="6"/>
      <c r="AB6" s="6"/>
      <c r="AC6" s="12"/>
    </row>
    <row r="7" spans="2:29" ht="15.95" customHeight="1" x14ac:dyDescent="0.25">
      <c r="B7" s="11"/>
      <c r="C7" s="6" t="s">
        <v>0</v>
      </c>
      <c r="I7" s="12"/>
      <c r="K7" s="11"/>
      <c r="L7" s="14" t="s">
        <v>30</v>
      </c>
      <c r="M7" s="48">
        <f>IRR(M65:R65)</f>
        <v>8.878849870891492E-2</v>
      </c>
      <c r="N7" s="15"/>
      <c r="U7" s="11"/>
      <c r="V7" s="26"/>
      <c r="W7" s="52">
        <f>M7</f>
        <v>8.878849870891492E-2</v>
      </c>
      <c r="X7" s="6"/>
      <c r="Y7" s="6"/>
      <c r="Z7" s="6"/>
      <c r="AA7" s="6"/>
      <c r="AB7" s="6"/>
      <c r="AC7" s="12"/>
    </row>
    <row r="8" spans="2:29" ht="15.95" customHeight="1" x14ac:dyDescent="0.25">
      <c r="B8" s="11"/>
      <c r="C8" s="16" t="s">
        <v>9</v>
      </c>
      <c r="D8" s="41">
        <v>68</v>
      </c>
      <c r="I8" s="12"/>
      <c r="K8" s="11"/>
      <c r="L8" s="6"/>
      <c r="M8" s="6"/>
      <c r="N8" s="12"/>
      <c r="U8" s="11"/>
      <c r="V8" s="51">
        <v>68</v>
      </c>
      <c r="W8" s="55">
        <f t="dataTable" ref="W8:W12" dt2D="0" dtr="0" r1="D8" ca="1"/>
        <v>8.878849870891492E-2</v>
      </c>
      <c r="X8" s="6"/>
      <c r="Y8" s="6"/>
      <c r="Z8" s="6"/>
      <c r="AA8" s="6"/>
      <c r="AB8" s="6"/>
      <c r="AC8" s="12"/>
    </row>
    <row r="9" spans="2:29" ht="15.95" customHeight="1" x14ac:dyDescent="0.25">
      <c r="B9" s="11"/>
      <c r="C9" s="16" t="s">
        <v>10</v>
      </c>
      <c r="D9" s="42">
        <v>0.03</v>
      </c>
      <c r="I9" s="20"/>
      <c r="K9" s="11"/>
      <c r="L9" s="14" t="s">
        <v>78</v>
      </c>
      <c r="M9" s="49">
        <f>NPV(D54,N65:R65)/-M65</f>
        <v>0.97187830940964459</v>
      </c>
      <c r="N9" s="12"/>
      <c r="U9" s="11"/>
      <c r="V9" s="51">
        <v>69</v>
      </c>
      <c r="W9" s="55">
        <v>9.3967566382879397E-2</v>
      </c>
      <c r="X9" s="6"/>
      <c r="Y9" s="6"/>
      <c r="Z9" s="6"/>
      <c r="AA9" s="6"/>
      <c r="AB9" s="6"/>
      <c r="AC9" s="12"/>
    </row>
    <row r="10" spans="2:29" ht="15.95" customHeight="1" thickBot="1" x14ac:dyDescent="0.3">
      <c r="B10" s="11"/>
      <c r="I10" s="21"/>
      <c r="K10" s="17"/>
      <c r="L10" s="18"/>
      <c r="M10" s="18"/>
      <c r="N10" s="19"/>
      <c r="U10" s="11"/>
      <c r="V10" s="51">
        <v>70</v>
      </c>
      <c r="W10" s="55">
        <v>9.9124387895356492E-2</v>
      </c>
      <c r="X10" s="6"/>
      <c r="Y10" s="6"/>
      <c r="Z10" s="6"/>
      <c r="AA10" s="6"/>
      <c r="AB10" s="6"/>
      <c r="AC10" s="12"/>
    </row>
    <row r="11" spans="2:29" ht="15.95" customHeight="1" thickBot="1" x14ac:dyDescent="0.3">
      <c r="B11" s="11"/>
      <c r="D11" s="22" t="s">
        <v>2</v>
      </c>
      <c r="E11" s="22" t="s">
        <v>3</v>
      </c>
      <c r="F11" s="22" t="s">
        <v>4</v>
      </c>
      <c r="G11" s="22" t="s">
        <v>5</v>
      </c>
      <c r="H11" s="22" t="s">
        <v>6</v>
      </c>
      <c r="I11" s="12"/>
      <c r="U11" s="11"/>
      <c r="V11" s="51">
        <v>71</v>
      </c>
      <c r="W11" s="55">
        <v>0.10425920221921881</v>
      </c>
      <c r="X11" s="6"/>
      <c r="Y11" s="6"/>
      <c r="Z11" s="6"/>
      <c r="AA11" s="6"/>
      <c r="AB11" s="6"/>
      <c r="AC11" s="12"/>
    </row>
    <row r="12" spans="2:29" ht="15.95" customHeight="1" x14ac:dyDescent="0.25">
      <c r="B12" s="11"/>
      <c r="C12" s="6" t="s">
        <v>1</v>
      </c>
      <c r="D12" s="43">
        <v>50000</v>
      </c>
      <c r="E12" s="43">
        <v>250000</v>
      </c>
      <c r="F12" s="43">
        <v>190000</v>
      </c>
      <c r="G12" s="43">
        <v>80000</v>
      </c>
      <c r="H12" s="43">
        <v>25000</v>
      </c>
      <c r="I12" s="12"/>
      <c r="K12" s="8"/>
      <c r="L12" s="9"/>
      <c r="M12" s="9"/>
      <c r="N12" s="9"/>
      <c r="O12" s="9"/>
      <c r="P12" s="9"/>
      <c r="Q12" s="9"/>
      <c r="R12" s="9"/>
      <c r="S12" s="10"/>
      <c r="U12" s="11"/>
      <c r="V12" s="51">
        <v>72</v>
      </c>
      <c r="W12" s="55">
        <v>0.10937224619959962</v>
      </c>
      <c r="X12" s="6"/>
      <c r="Y12" s="6"/>
      <c r="Z12" s="6"/>
      <c r="AA12" s="6"/>
      <c r="AB12" s="6"/>
      <c r="AC12" s="12"/>
    </row>
    <row r="13" spans="2:29" ht="15.95" customHeight="1" x14ac:dyDescent="0.25">
      <c r="B13" s="11"/>
      <c r="I13" s="12"/>
      <c r="K13" s="11"/>
      <c r="L13" s="62" t="s">
        <v>16</v>
      </c>
      <c r="M13" s="62"/>
      <c r="N13" s="62"/>
      <c r="O13" s="62"/>
      <c r="P13" s="62"/>
      <c r="Q13" s="62"/>
      <c r="R13" s="62"/>
      <c r="S13" s="13"/>
      <c r="U13" s="11"/>
      <c r="V13" s="6"/>
      <c r="W13" s="6"/>
      <c r="X13" s="6"/>
      <c r="Y13" s="6"/>
      <c r="Z13" s="6"/>
      <c r="AA13" s="6"/>
      <c r="AB13" s="6"/>
      <c r="AC13" s="12"/>
    </row>
    <row r="14" spans="2:29" ht="15.95" customHeight="1" x14ac:dyDescent="0.25">
      <c r="B14" s="11"/>
      <c r="C14" s="61" t="s">
        <v>55</v>
      </c>
      <c r="D14" s="61"/>
      <c r="I14" s="12"/>
      <c r="K14" s="11"/>
      <c r="L14" s="6"/>
      <c r="M14" s="6"/>
      <c r="N14" s="6"/>
      <c r="O14" s="6"/>
      <c r="P14" s="6"/>
      <c r="Q14" s="6"/>
      <c r="R14" s="6"/>
      <c r="S14" s="12"/>
      <c r="U14" s="11"/>
      <c r="V14" s="64" t="s">
        <v>69</v>
      </c>
      <c r="W14" s="64"/>
      <c r="X14" s="64"/>
      <c r="Y14" s="64"/>
      <c r="Z14" s="64"/>
      <c r="AA14" s="64"/>
      <c r="AB14" s="64"/>
      <c r="AC14" s="12"/>
    </row>
    <row r="15" spans="2:29" ht="15.95" customHeight="1" x14ac:dyDescent="0.25">
      <c r="B15" s="11"/>
      <c r="C15" s="16" t="s">
        <v>57</v>
      </c>
      <c r="D15" s="44">
        <v>5</v>
      </c>
      <c r="I15" s="12"/>
      <c r="K15" s="11"/>
      <c r="L15" s="6"/>
      <c r="M15" s="23" t="s">
        <v>18</v>
      </c>
      <c r="N15" s="23" t="s">
        <v>18</v>
      </c>
      <c r="O15" s="23" t="s">
        <v>18</v>
      </c>
      <c r="P15" s="23" t="s">
        <v>18</v>
      </c>
      <c r="Q15" s="23" t="s">
        <v>18</v>
      </c>
      <c r="R15" s="23" t="s">
        <v>18</v>
      </c>
      <c r="S15" s="12"/>
      <c r="U15" s="11"/>
      <c r="V15" s="6"/>
      <c r="W15" s="6"/>
      <c r="X15" s="6"/>
      <c r="Y15" s="6"/>
      <c r="Z15" s="6"/>
      <c r="AA15" s="6"/>
      <c r="AB15" s="6"/>
      <c r="AC15" s="12"/>
    </row>
    <row r="16" spans="2:29" ht="15.95" customHeight="1" x14ac:dyDescent="0.25">
      <c r="B16" s="11"/>
      <c r="C16" s="16" t="s">
        <v>56</v>
      </c>
      <c r="D16" s="41">
        <v>24000000</v>
      </c>
      <c r="H16" s="47"/>
      <c r="I16" s="12"/>
      <c r="K16" s="11"/>
      <c r="L16" s="6"/>
      <c r="M16" s="24">
        <v>0</v>
      </c>
      <c r="N16" s="24">
        <v>1</v>
      </c>
      <c r="O16" s="24">
        <v>2</v>
      </c>
      <c r="P16" s="24">
        <v>3</v>
      </c>
      <c r="Q16" s="24">
        <v>4</v>
      </c>
      <c r="R16" s="24">
        <v>5</v>
      </c>
      <c r="S16" s="12"/>
      <c r="U16" s="11"/>
      <c r="V16" s="26"/>
      <c r="W16" s="52">
        <f>M7</f>
        <v>8.878849870891492E-2</v>
      </c>
      <c r="X16" s="6"/>
      <c r="Y16" s="6"/>
      <c r="Z16" s="6"/>
      <c r="AA16" s="6"/>
      <c r="AB16" s="6"/>
      <c r="AC16" s="12"/>
    </row>
    <row r="17" spans="2:29" ht="15.95" customHeight="1" x14ac:dyDescent="0.25">
      <c r="B17" s="11"/>
      <c r="C17" s="16" t="s">
        <v>62</v>
      </c>
      <c r="D17" s="42">
        <v>0.15</v>
      </c>
      <c r="I17" s="12"/>
      <c r="K17" s="11"/>
      <c r="L17" s="6"/>
      <c r="M17" s="6"/>
      <c r="N17" s="6"/>
      <c r="O17" s="6"/>
      <c r="P17" s="6"/>
      <c r="Q17" s="6"/>
      <c r="R17" s="6"/>
      <c r="S17" s="12"/>
      <c r="U17" s="11"/>
      <c r="V17" s="53">
        <v>0</v>
      </c>
      <c r="W17" s="55">
        <f t="dataTable" ref="W17:W22" dt2D="0" dtr="0" r1="D9"/>
        <v>7.2574941654455216E-2</v>
      </c>
      <c r="X17" s="6"/>
      <c r="Y17" s="6"/>
      <c r="Z17" s="6"/>
      <c r="AA17" s="6"/>
      <c r="AB17" s="6"/>
      <c r="AC17" s="12"/>
    </row>
    <row r="18" spans="2:29" ht="15.95" customHeight="1" x14ac:dyDescent="0.25">
      <c r="B18" s="11"/>
      <c r="C18" s="16" t="s">
        <v>33</v>
      </c>
      <c r="D18" s="41">
        <v>4000000</v>
      </c>
      <c r="I18" s="12"/>
      <c r="K18" s="11"/>
      <c r="L18" s="25" t="s">
        <v>75</v>
      </c>
      <c r="M18" s="6"/>
      <c r="N18" s="6"/>
      <c r="O18" s="6"/>
      <c r="P18" s="6"/>
      <c r="Q18" s="6"/>
      <c r="R18" s="6"/>
      <c r="S18" s="12"/>
      <c r="U18" s="11"/>
      <c r="V18" s="53">
        <v>0.01</v>
      </c>
      <c r="W18" s="55">
        <v>7.7973328004753872E-2</v>
      </c>
      <c r="X18" s="6"/>
      <c r="Y18" s="6"/>
      <c r="Z18" s="6"/>
      <c r="AA18" s="6"/>
      <c r="AB18" s="6"/>
      <c r="AC18" s="12"/>
    </row>
    <row r="19" spans="2:29" ht="15.95" customHeight="1" x14ac:dyDescent="0.25">
      <c r="B19" s="11"/>
      <c r="I19" s="12"/>
      <c r="K19" s="11"/>
      <c r="L19" s="6"/>
      <c r="M19" s="6"/>
      <c r="N19" s="6"/>
      <c r="O19" s="6"/>
      <c r="P19" s="6"/>
      <c r="Q19" s="6"/>
      <c r="R19" s="6"/>
      <c r="S19" s="12"/>
      <c r="U19" s="11"/>
      <c r="V19" s="53">
        <v>0.02</v>
      </c>
      <c r="W19" s="55">
        <v>8.3378019171225448E-2</v>
      </c>
      <c r="X19" s="6"/>
      <c r="Y19" s="6"/>
      <c r="Z19" s="6"/>
      <c r="AA19" s="6"/>
      <c r="AB19" s="6"/>
      <c r="AC19" s="12"/>
    </row>
    <row r="20" spans="2:29" ht="15.95" customHeight="1" x14ac:dyDescent="0.25">
      <c r="B20" s="11"/>
      <c r="C20" s="61" t="s">
        <v>8</v>
      </c>
      <c r="D20" s="61"/>
      <c r="I20" s="12"/>
      <c r="K20" s="11"/>
      <c r="L20" s="27" t="s">
        <v>26</v>
      </c>
      <c r="M20" s="3">
        <f>-D16*(1+D17)</f>
        <v>-27599999.999999996</v>
      </c>
      <c r="N20" s="32"/>
      <c r="O20" s="32"/>
      <c r="P20" s="32"/>
      <c r="Q20" s="32"/>
      <c r="R20" s="32"/>
      <c r="S20" s="12"/>
      <c r="U20" s="11"/>
      <c r="V20" s="53">
        <v>0.03</v>
      </c>
      <c r="W20" s="55">
        <v>8.878849870891492E-2</v>
      </c>
      <c r="X20" s="6"/>
      <c r="Y20" s="6"/>
      <c r="Z20" s="6"/>
      <c r="AA20" s="6"/>
      <c r="AB20" s="6"/>
      <c r="AC20" s="12"/>
    </row>
    <row r="21" spans="2:29" ht="15.95" customHeight="1" x14ac:dyDescent="0.25">
      <c r="B21" s="11"/>
      <c r="C21" s="16" t="s">
        <v>47</v>
      </c>
      <c r="D21" s="41">
        <v>150000</v>
      </c>
      <c r="I21" s="12"/>
      <c r="K21" s="11"/>
      <c r="L21" s="6"/>
      <c r="M21" s="6"/>
      <c r="N21" s="6"/>
      <c r="O21" s="6"/>
      <c r="P21" s="6"/>
      <c r="Q21" s="6"/>
      <c r="R21" s="6"/>
      <c r="S21" s="12"/>
      <c r="U21" s="11"/>
      <c r="V21" s="53">
        <v>0.04</v>
      </c>
      <c r="W21" s="55">
        <v>9.4204267606063707E-2</v>
      </c>
      <c r="X21" s="6"/>
      <c r="Y21" s="6"/>
      <c r="Z21" s="6"/>
      <c r="AA21" s="6"/>
      <c r="AB21" s="6"/>
      <c r="AC21" s="12"/>
    </row>
    <row r="22" spans="2:29" ht="15.95" customHeight="1" x14ac:dyDescent="0.25">
      <c r="B22" s="11"/>
      <c r="I22" s="12"/>
      <c r="K22" s="11"/>
      <c r="L22" s="34" t="s">
        <v>42</v>
      </c>
      <c r="M22" s="30"/>
      <c r="N22" s="30"/>
      <c r="O22" s="30"/>
      <c r="P22" s="30"/>
      <c r="Q22" s="30"/>
      <c r="R22" s="4">
        <f>D18</f>
        <v>4000000</v>
      </c>
      <c r="S22" s="12"/>
      <c r="U22" s="11"/>
      <c r="V22" s="53">
        <v>0.05</v>
      </c>
      <c r="W22" s="55">
        <v>9.9624843919107642E-2</v>
      </c>
      <c r="X22" s="6"/>
      <c r="Y22" s="6"/>
      <c r="Z22" s="6"/>
      <c r="AA22" s="6"/>
      <c r="AB22" s="6"/>
      <c r="AC22" s="12"/>
    </row>
    <row r="23" spans="2:29" ht="15.95" customHeight="1" x14ac:dyDescent="0.25">
      <c r="B23" s="11"/>
      <c r="C23" s="61" t="s">
        <v>35</v>
      </c>
      <c r="D23" s="61"/>
      <c r="I23" s="12"/>
      <c r="K23" s="11"/>
      <c r="L23" s="35" t="s">
        <v>43</v>
      </c>
      <c r="M23" s="30"/>
      <c r="N23" s="30"/>
      <c r="O23" s="30"/>
      <c r="P23" s="30"/>
      <c r="Q23" s="30"/>
      <c r="R23" s="5">
        <f>-M20+SUM(N44:R44)</f>
        <v>0</v>
      </c>
      <c r="S23" s="12"/>
      <c r="U23" s="11"/>
      <c r="V23" s="6"/>
      <c r="W23" s="6"/>
      <c r="X23" s="6"/>
      <c r="Y23" s="6"/>
      <c r="Z23" s="6"/>
      <c r="AA23" s="6"/>
      <c r="AB23" s="6"/>
      <c r="AC23" s="12"/>
    </row>
    <row r="24" spans="2:29" ht="15.95" customHeight="1" x14ac:dyDescent="0.25">
      <c r="B24" s="11"/>
      <c r="C24" s="16" t="s">
        <v>11</v>
      </c>
      <c r="I24" s="12"/>
      <c r="K24" s="11"/>
      <c r="L24" s="34" t="s">
        <v>44</v>
      </c>
      <c r="M24" s="30"/>
      <c r="N24" s="30"/>
      <c r="O24" s="30"/>
      <c r="P24" s="30"/>
      <c r="Q24" s="30"/>
      <c r="R24" s="4">
        <f>R22-R23</f>
        <v>4000000</v>
      </c>
      <c r="S24" s="12"/>
      <c r="U24" s="11"/>
      <c r="V24" s="64" t="s">
        <v>70</v>
      </c>
      <c r="W24" s="64"/>
      <c r="X24" s="64"/>
      <c r="Y24" s="64"/>
      <c r="Z24" s="64"/>
      <c r="AA24" s="64"/>
      <c r="AB24" s="64"/>
      <c r="AC24" s="12"/>
    </row>
    <row r="25" spans="2:29" ht="15.95" customHeight="1" x14ac:dyDescent="0.25">
      <c r="B25" s="11"/>
      <c r="C25" s="29" t="s">
        <v>12</v>
      </c>
      <c r="D25" s="45">
        <v>4.25</v>
      </c>
      <c r="I25" s="12"/>
      <c r="K25" s="11"/>
      <c r="L25" s="35" t="s">
        <v>21</v>
      </c>
      <c r="M25" s="30"/>
      <c r="N25" s="30"/>
      <c r="O25" s="30"/>
      <c r="P25" s="30"/>
      <c r="Q25" s="30"/>
      <c r="R25" s="5">
        <f>-D52*R24</f>
        <v>-1000000</v>
      </c>
      <c r="S25" s="12"/>
      <c r="U25" s="11"/>
      <c r="V25" s="6"/>
      <c r="W25" s="6"/>
      <c r="X25" s="6"/>
      <c r="Y25" s="6"/>
      <c r="Z25" s="6"/>
      <c r="AA25" s="6"/>
      <c r="AB25" s="6"/>
      <c r="AC25" s="12"/>
    </row>
    <row r="26" spans="2:29" ht="15.95" customHeight="1" x14ac:dyDescent="0.25">
      <c r="B26" s="11"/>
      <c r="C26" s="29" t="s">
        <v>7</v>
      </c>
      <c r="D26" s="42">
        <v>0.02</v>
      </c>
      <c r="I26" s="12"/>
      <c r="K26" s="11"/>
      <c r="L26" s="36" t="s">
        <v>45</v>
      </c>
      <c r="M26" s="32"/>
      <c r="N26" s="32"/>
      <c r="O26" s="32"/>
      <c r="P26" s="32"/>
      <c r="Q26" s="32"/>
      <c r="R26" s="3">
        <f>R24+R25</f>
        <v>3000000</v>
      </c>
      <c r="S26" s="12"/>
      <c r="U26" s="11"/>
      <c r="V26" s="52">
        <f>M7</f>
        <v>8.878849870891492E-2</v>
      </c>
      <c r="W26" s="56">
        <v>68</v>
      </c>
      <c r="X26" s="56">
        <v>69</v>
      </c>
      <c r="Y26" s="56">
        <v>70</v>
      </c>
      <c r="Z26" s="56">
        <v>71</v>
      </c>
      <c r="AA26" s="56">
        <v>72</v>
      </c>
      <c r="AB26" s="6"/>
      <c r="AC26" s="12"/>
    </row>
    <row r="27" spans="2:29" ht="15.95" customHeight="1" x14ac:dyDescent="0.25">
      <c r="B27" s="11"/>
      <c r="C27" s="16" t="s">
        <v>48</v>
      </c>
      <c r="I27" s="12"/>
      <c r="K27" s="11"/>
      <c r="S27" s="12"/>
      <c r="U27" s="11"/>
      <c r="V27" s="53">
        <v>0</v>
      </c>
      <c r="W27" s="55">
        <f t="dataTable" ref="W27:AA32" dt2D="1" dtr="1" r1="D8" r2="D9" ca="1"/>
        <v>7.2574941654455216E-2</v>
      </c>
      <c r="X27" s="55">
        <v>7.7628496951763326E-2</v>
      </c>
      <c r="Y27" s="55">
        <v>8.2661497803711459E-2</v>
      </c>
      <c r="Z27" s="55">
        <v>8.7674141492788182E-2</v>
      </c>
      <c r="AA27" s="55">
        <v>9.2666624412787391E-2</v>
      </c>
      <c r="AB27" s="6"/>
      <c r="AC27" s="12"/>
    </row>
    <row r="28" spans="2:29" ht="15.95" customHeight="1" x14ac:dyDescent="0.25">
      <c r="B28" s="11"/>
      <c r="C28" s="29" t="s">
        <v>12</v>
      </c>
      <c r="D28" s="45">
        <v>0.45</v>
      </c>
      <c r="I28" s="12"/>
      <c r="K28" s="11"/>
      <c r="L28" s="25" t="s">
        <v>76</v>
      </c>
      <c r="M28" s="6"/>
      <c r="N28" s="6"/>
      <c r="O28" s="6"/>
      <c r="P28" s="6"/>
      <c r="Q28" s="6"/>
      <c r="R28" s="6"/>
      <c r="S28" s="12"/>
      <c r="U28" s="11"/>
      <c r="V28" s="53">
        <v>0.01</v>
      </c>
      <c r="W28" s="55">
        <v>7.7973328004753872E-2</v>
      </c>
      <c r="X28" s="55">
        <v>8.3069137639925072E-2</v>
      </c>
      <c r="Y28" s="55">
        <v>8.8143825252205543E-2</v>
      </c>
      <c r="Z28" s="55">
        <v>9.3197601935168572E-2</v>
      </c>
      <c r="AA28" s="55">
        <v>9.8230677492488594E-2</v>
      </c>
      <c r="AB28" s="6"/>
      <c r="AC28" s="12"/>
    </row>
    <row r="29" spans="2:29" ht="15.95" customHeight="1" x14ac:dyDescent="0.25">
      <c r="B29" s="11"/>
      <c r="C29" s="29" t="s">
        <v>7</v>
      </c>
      <c r="D29" s="42">
        <v>0.01</v>
      </c>
      <c r="I29" s="12"/>
      <c r="K29" s="11"/>
      <c r="L29" s="6"/>
      <c r="M29" s="6"/>
      <c r="N29" s="6"/>
      <c r="O29" s="6"/>
      <c r="P29" s="6"/>
      <c r="Q29" s="6"/>
      <c r="R29" s="6"/>
      <c r="S29" s="12"/>
      <c r="U29" s="11"/>
      <c r="V29" s="53">
        <v>0.02</v>
      </c>
      <c r="W29" s="55">
        <v>8.3378019171225448E-2</v>
      </c>
      <c r="X29" s="55">
        <v>8.8515664371004332E-2</v>
      </c>
      <c r="Y29" s="55">
        <v>9.3631623585350265E-2</v>
      </c>
      <c r="Z29" s="55">
        <v>9.8726121809209255E-2</v>
      </c>
      <c r="AA29" s="55">
        <v>0.10379938233439501</v>
      </c>
      <c r="AB29" s="6"/>
      <c r="AC29" s="12"/>
    </row>
    <row r="30" spans="2:29" ht="15.95" customHeight="1" x14ac:dyDescent="0.25">
      <c r="B30" s="11"/>
      <c r="C30" s="16" t="s">
        <v>49</v>
      </c>
      <c r="D30" s="31"/>
      <c r="I30" s="12"/>
      <c r="K30" s="11"/>
      <c r="L30" s="16" t="s">
        <v>1</v>
      </c>
      <c r="M30" s="6"/>
      <c r="N30" s="1">
        <f>D12</f>
        <v>50000</v>
      </c>
      <c r="O30" s="1">
        <f>E12</f>
        <v>250000</v>
      </c>
      <c r="P30" s="1">
        <f>F12</f>
        <v>190000</v>
      </c>
      <c r="Q30" s="1">
        <f>G12</f>
        <v>80000</v>
      </c>
      <c r="R30" s="1">
        <f>H12</f>
        <v>25000</v>
      </c>
      <c r="S30" s="12"/>
      <c r="U30" s="11"/>
      <c r="V30" s="53">
        <v>0.03</v>
      </c>
      <c r="W30" s="55">
        <v>8.878849870891492E-2</v>
      </c>
      <c r="X30" s="55">
        <v>9.3967566382879397E-2</v>
      </c>
      <c r="Y30" s="55">
        <v>9.9124387895356492E-2</v>
      </c>
      <c r="Z30" s="55">
        <v>0.10425920221921881</v>
      </c>
      <c r="AA30" s="55">
        <v>0.10937224619959962</v>
      </c>
      <c r="AB30" s="6"/>
      <c r="AC30" s="12"/>
    </row>
    <row r="31" spans="2:29" ht="15.95" customHeight="1" x14ac:dyDescent="0.25">
      <c r="B31" s="11"/>
      <c r="C31" s="29" t="s">
        <v>50</v>
      </c>
      <c r="D31" s="43">
        <v>100000</v>
      </c>
      <c r="I31" s="20"/>
      <c r="K31" s="11"/>
      <c r="L31" s="16" t="s">
        <v>28</v>
      </c>
      <c r="M31" s="26"/>
      <c r="N31" s="2">
        <f>D8</f>
        <v>68</v>
      </c>
      <c r="O31" s="2">
        <f>N31*(1+$D$9)</f>
        <v>70.040000000000006</v>
      </c>
      <c r="P31" s="2">
        <f t="shared" ref="P31:R31" si="0">O31*(1+$D$9)</f>
        <v>72.141200000000012</v>
      </c>
      <c r="Q31" s="2">
        <f t="shared" si="0"/>
        <v>74.305436000000014</v>
      </c>
      <c r="R31" s="2">
        <f t="shared" si="0"/>
        <v>76.534599080000021</v>
      </c>
      <c r="S31" s="12"/>
      <c r="U31" s="11"/>
      <c r="V31" s="53">
        <v>0.04</v>
      </c>
      <c r="W31" s="55">
        <v>9.4204267606063707E-2</v>
      </c>
      <c r="X31" s="55">
        <v>9.9424350482172574E-2</v>
      </c>
      <c r="Y31" s="55">
        <v>0.10462163096240773</v>
      </c>
      <c r="Z31" s="55">
        <v>0.10979636206094456</v>
      </c>
      <c r="AA31" s="55">
        <v>0.11494879422893245</v>
      </c>
      <c r="AB31" s="6"/>
      <c r="AC31" s="12"/>
    </row>
    <row r="32" spans="2:29" ht="15.95" customHeight="1" x14ac:dyDescent="0.25">
      <c r="B32" s="11"/>
      <c r="C32" s="29" t="s">
        <v>51</v>
      </c>
      <c r="D32" s="43">
        <v>6</v>
      </c>
      <c r="I32" s="20"/>
      <c r="K32" s="11"/>
      <c r="L32" s="27" t="s">
        <v>17</v>
      </c>
      <c r="M32" s="27"/>
      <c r="N32" s="3">
        <f>N30*N31</f>
        <v>3400000</v>
      </c>
      <c r="O32" s="3">
        <f t="shared" ref="O32:R32" si="1">O30*O31</f>
        <v>17510000</v>
      </c>
      <c r="P32" s="3">
        <f t="shared" si="1"/>
        <v>13706828.000000002</v>
      </c>
      <c r="Q32" s="3">
        <f t="shared" si="1"/>
        <v>5944434.8800000008</v>
      </c>
      <c r="R32" s="3">
        <f t="shared" si="1"/>
        <v>1913364.9770000004</v>
      </c>
      <c r="S32" s="12"/>
      <c r="U32" s="11"/>
      <c r="V32" s="53">
        <v>0.05</v>
      </c>
      <c r="W32" s="55">
        <v>9.9624843919107642E-2</v>
      </c>
      <c r="X32" s="55">
        <v>0.10488554065809863</v>
      </c>
      <c r="Y32" s="55">
        <v>0.11012288284809491</v>
      </c>
      <c r="Z32" s="55">
        <v>0.11533713759537667</v>
      </c>
      <c r="AA32" s="55">
        <v>0.12052856899789277</v>
      </c>
      <c r="AB32" s="6"/>
      <c r="AC32" s="12"/>
    </row>
    <row r="33" spans="2:29" ht="15.95" customHeight="1" x14ac:dyDescent="0.25">
      <c r="B33" s="11"/>
      <c r="C33" s="29" t="s">
        <v>52</v>
      </c>
      <c r="D33" s="43">
        <v>8</v>
      </c>
      <c r="I33" s="21"/>
      <c r="K33" s="11"/>
      <c r="L33" s="16" t="s">
        <v>11</v>
      </c>
      <c r="M33" s="6"/>
      <c r="N33" s="4">
        <f>-$D$25*(1+$D$26)^M16*N30</f>
        <v>-212500</v>
      </c>
      <c r="O33" s="4">
        <f>-$D$25*(1+$D$26)^N16*O30</f>
        <v>-1083750</v>
      </c>
      <c r="P33" s="4">
        <f>-$D$25*(1+$D$26)^O16*P30</f>
        <v>-840122.99999999988</v>
      </c>
      <c r="Q33" s="4">
        <f>-$D$25*(1+$D$26)^P16*Q30</f>
        <v>-360810.72</v>
      </c>
      <c r="R33" s="4">
        <f>-$D$25*(1+$D$26)^Q16*R30</f>
        <v>-115008.417</v>
      </c>
      <c r="S33" s="12"/>
      <c r="U33" s="11"/>
      <c r="V33" s="6"/>
      <c r="W33" s="6"/>
      <c r="X33" s="6"/>
      <c r="Y33" s="6"/>
      <c r="Z33" s="6"/>
      <c r="AA33" s="6"/>
      <c r="AB33" s="6"/>
      <c r="AC33" s="12"/>
    </row>
    <row r="34" spans="2:29" ht="15.95" customHeight="1" x14ac:dyDescent="0.25">
      <c r="B34" s="11"/>
      <c r="C34" s="29" t="s">
        <v>13</v>
      </c>
      <c r="D34" s="43">
        <v>2080</v>
      </c>
      <c r="I34" s="12"/>
      <c r="K34" s="11"/>
      <c r="L34" s="16" t="s">
        <v>48</v>
      </c>
      <c r="M34" s="6"/>
      <c r="N34" s="4">
        <f>-$D$28*(1+$D$29)^M16*N30</f>
        <v>-22500</v>
      </c>
      <c r="O34" s="4">
        <f>-$D$28*(1+$D$29)^N16*O30</f>
        <v>-113625</v>
      </c>
      <c r="P34" s="4">
        <f>-$D$28*(1+$D$29)^O16*P30</f>
        <v>-87218.55</v>
      </c>
      <c r="Q34" s="4">
        <f>-$D$28*(1+$D$29)^P16*Q30</f>
        <v>-37090.835999999996</v>
      </c>
      <c r="R34" s="4">
        <f>-$D$28*(1+$D$29)^Q16*R30</f>
        <v>-11706.7951125</v>
      </c>
      <c r="S34" s="12"/>
      <c r="U34" s="11"/>
      <c r="V34" s="64" t="s">
        <v>71</v>
      </c>
      <c r="W34" s="64"/>
      <c r="X34" s="64"/>
      <c r="Y34" s="64"/>
      <c r="Z34" s="64"/>
      <c r="AA34" s="64"/>
      <c r="AB34" s="64"/>
      <c r="AC34" s="12"/>
    </row>
    <row r="35" spans="2:29" ht="15.95" customHeight="1" x14ac:dyDescent="0.25">
      <c r="B35" s="11"/>
      <c r="C35" s="29" t="s">
        <v>58</v>
      </c>
      <c r="D35" s="45">
        <v>32</v>
      </c>
      <c r="I35" s="12"/>
      <c r="K35" s="11"/>
      <c r="L35" s="16" t="s">
        <v>49</v>
      </c>
      <c r="M35" s="28"/>
      <c r="N35" s="5">
        <f>-IF(N30&lt;$D$31,$D$32,$D$33)*$D$34*$D$35*(1+$D$36)^M16</f>
        <v>-399360</v>
      </c>
      <c r="O35" s="5">
        <f>-IF(O30&lt;$D$31,$D$32,$D$33)*$D$34*$D$35*(1+$D$36)^N16</f>
        <v>-553779.20000000007</v>
      </c>
      <c r="P35" s="5">
        <f>-IF(P30&lt;$D$31,$D$32,$D$33)*$D$34*$D$35*(1+$D$36)^O16</f>
        <v>-575930.36800000002</v>
      </c>
      <c r="Q35" s="5">
        <f>-IF(Q30&lt;$D$31,$D$32,$D$33)*$D$34*$D$35*(1+$D$36)^P16</f>
        <v>-449225.68704000005</v>
      </c>
      <c r="R35" s="5">
        <f>-IF(R30&lt;$D$31,$D$32,$D$33)*$D$34*$D$35*(1+$D$36)^Q16</f>
        <v>-467194.71452160011</v>
      </c>
      <c r="S35" s="12"/>
      <c r="U35" s="11"/>
      <c r="V35" s="6"/>
      <c r="W35" s="6"/>
      <c r="X35" s="6"/>
      <c r="Y35" s="6"/>
      <c r="Z35" s="6"/>
      <c r="AA35" s="6"/>
      <c r="AB35" s="6"/>
      <c r="AC35" s="12"/>
    </row>
    <row r="36" spans="2:29" ht="15.95" customHeight="1" x14ac:dyDescent="0.25">
      <c r="B36" s="11"/>
      <c r="C36" s="29" t="s">
        <v>7</v>
      </c>
      <c r="D36" s="42">
        <v>0.04</v>
      </c>
      <c r="I36" s="12"/>
      <c r="K36" s="11"/>
      <c r="L36" s="27" t="s">
        <v>19</v>
      </c>
      <c r="M36" s="27"/>
      <c r="N36" s="3">
        <f>SUM(N32:N35)</f>
        <v>2765640</v>
      </c>
      <c r="O36" s="3">
        <f t="shared" ref="O36:R36" si="2">SUM(O32:O35)</f>
        <v>15758845.800000001</v>
      </c>
      <c r="P36" s="3">
        <f t="shared" si="2"/>
        <v>12203556.082</v>
      </c>
      <c r="Q36" s="3">
        <f t="shared" si="2"/>
        <v>5097307.6369600007</v>
      </c>
      <c r="R36" s="3">
        <f t="shared" si="2"/>
        <v>1319455.0503659004</v>
      </c>
      <c r="S36" s="12"/>
      <c r="U36" s="11"/>
      <c r="V36" s="28">
        <f>M5</f>
        <v>-775771.53324885666</v>
      </c>
      <c r="W36" s="54">
        <v>0</v>
      </c>
      <c r="X36" s="54">
        <v>0.01</v>
      </c>
      <c r="Y36" s="54">
        <v>0.02</v>
      </c>
      <c r="Z36" s="54">
        <v>0.03</v>
      </c>
      <c r="AA36" s="54">
        <v>0.04</v>
      </c>
      <c r="AB36" s="54">
        <v>0.05</v>
      </c>
      <c r="AC36" s="12"/>
    </row>
    <row r="37" spans="2:29" ht="15.95" customHeight="1" x14ac:dyDescent="0.25">
      <c r="B37" s="11"/>
      <c r="I37" s="12"/>
      <c r="K37" s="11"/>
      <c r="L37" s="16" t="s">
        <v>34</v>
      </c>
      <c r="M37" s="4"/>
      <c r="N37" s="39"/>
      <c r="O37" s="39"/>
      <c r="P37" s="39"/>
      <c r="Q37" s="39"/>
      <c r="R37" s="39"/>
      <c r="S37" s="12"/>
      <c r="U37" s="11"/>
      <c r="V37" s="53">
        <v>7.0000000000000007E-2</v>
      </c>
      <c r="W37" s="50">
        <f t="dataTable" ref="W37:AB43" dt2D="1" dtr="1" r1="D9" r2="D54" ca="1"/>
        <v>186171.76087382436</v>
      </c>
      <c r="X37" s="50">
        <v>579411.71196929738</v>
      </c>
      <c r="Y37" s="50">
        <v>977137.56994106993</v>
      </c>
      <c r="Z37" s="50">
        <v>1379389.3073812202</v>
      </c>
      <c r="AA37" s="50">
        <v>1786207.1105247512</v>
      </c>
      <c r="AB37" s="50">
        <v>2197631.3792495951</v>
      </c>
      <c r="AC37" s="12"/>
    </row>
    <row r="38" spans="2:29" ht="15.95" customHeight="1" x14ac:dyDescent="0.25">
      <c r="B38" s="11"/>
      <c r="D38" s="22" t="s">
        <v>2</v>
      </c>
      <c r="E38" s="22" t="s">
        <v>3</v>
      </c>
      <c r="F38" s="22" t="s">
        <v>4</v>
      </c>
      <c r="G38" s="22" t="s">
        <v>5</v>
      </c>
      <c r="H38" s="22" t="s">
        <v>6</v>
      </c>
      <c r="I38" s="20"/>
      <c r="K38" s="11"/>
      <c r="L38" s="16" t="s">
        <v>40</v>
      </c>
      <c r="M38" s="6"/>
      <c r="N38" s="4">
        <f>-D39</f>
        <v>-100000</v>
      </c>
      <c r="O38" s="4">
        <f>-E39</f>
        <v>-180000</v>
      </c>
      <c r="P38" s="4">
        <f>-F39</f>
        <v>-40000</v>
      </c>
      <c r="Q38" s="4">
        <f>-G39</f>
        <v>-40000</v>
      </c>
      <c r="R38" s="4">
        <f>-H39</f>
        <v>0</v>
      </c>
      <c r="S38" s="12"/>
      <c r="U38" s="11"/>
      <c r="V38" s="53">
        <v>0.08</v>
      </c>
      <c r="W38" s="50">
        <v>-526251.34080704674</v>
      </c>
      <c r="X38" s="50">
        <v>-144365.05043578148</v>
      </c>
      <c r="Y38" s="50">
        <v>241847.03904401511</v>
      </c>
      <c r="Z38" s="50">
        <v>632423.24245406687</v>
      </c>
      <c r="AA38" s="50">
        <v>1027402.0785268061</v>
      </c>
      <c r="AB38" s="50">
        <v>1426822.2699053809</v>
      </c>
      <c r="AC38" s="12"/>
    </row>
    <row r="39" spans="2:29" ht="15.95" customHeight="1" x14ac:dyDescent="0.25">
      <c r="B39" s="11"/>
      <c r="C39" s="6" t="s">
        <v>40</v>
      </c>
      <c r="D39" s="41">
        <v>100000</v>
      </c>
      <c r="E39" s="41">
        <v>180000</v>
      </c>
      <c r="F39" s="41">
        <v>40000</v>
      </c>
      <c r="G39" s="41">
        <v>40000</v>
      </c>
      <c r="H39" s="41">
        <v>0</v>
      </c>
      <c r="I39" s="33"/>
      <c r="K39" s="11"/>
      <c r="L39" s="16" t="s">
        <v>36</v>
      </c>
      <c r="M39" s="6"/>
      <c r="N39" s="4">
        <f>-$D$42*(1+$D$43)^M16*N30</f>
        <v>-95000</v>
      </c>
      <c r="O39" s="4">
        <f>-$D$42*(1+$D$43)^N16*O30</f>
        <v>-484500</v>
      </c>
      <c r="P39" s="4">
        <f>-$D$42*(1+$D$43)^O16*P30</f>
        <v>-375584.39999999997</v>
      </c>
      <c r="Q39" s="4">
        <f>-$D$42*(1+$D$43)^P16*Q30</f>
        <v>-161303.61599999998</v>
      </c>
      <c r="R39" s="4">
        <f>-$D$42*(1+$D$43)^Q16*R30</f>
        <v>-51415.527600000001</v>
      </c>
      <c r="S39" s="12"/>
      <c r="U39" s="11"/>
      <c r="V39" s="53">
        <v>0.09</v>
      </c>
      <c r="W39" s="50">
        <v>-1210993.5325186774</v>
      </c>
      <c r="X39" s="50">
        <v>-840006.20571288839</v>
      </c>
      <c r="Y39" s="50">
        <v>-464845.87444422767</v>
      </c>
      <c r="Z39" s="50">
        <v>-85475.797828327864</v>
      </c>
      <c r="AA39" s="50">
        <v>298140.95972442627</v>
      </c>
      <c r="AB39" s="50">
        <v>686041.52850892767</v>
      </c>
      <c r="AC39" s="12"/>
    </row>
    <row r="40" spans="2:29" ht="15.95" customHeight="1" x14ac:dyDescent="0.25">
      <c r="B40" s="11"/>
      <c r="I40" s="12"/>
      <c r="K40" s="11"/>
      <c r="L40" s="16" t="s">
        <v>66</v>
      </c>
      <c r="M40" s="6"/>
      <c r="N40" s="4">
        <f>-$D$45*N32</f>
        <v>-68000</v>
      </c>
      <c r="O40" s="4">
        <f t="shared" ref="O40:R40" si="3">-$D$45*O32</f>
        <v>-350200</v>
      </c>
      <c r="P40" s="4">
        <f t="shared" si="3"/>
        <v>-274136.56000000006</v>
      </c>
      <c r="Q40" s="4">
        <f t="shared" si="3"/>
        <v>-118888.69760000001</v>
      </c>
      <c r="R40" s="4">
        <f t="shared" si="3"/>
        <v>-38267.299540000007</v>
      </c>
      <c r="S40" s="12"/>
      <c r="U40" s="11"/>
      <c r="V40" s="53">
        <v>0.1</v>
      </c>
      <c r="W40" s="50">
        <v>-1869448.5764510781</v>
      </c>
      <c r="X40" s="50">
        <v>-1508928.4299868345</v>
      </c>
      <c r="Y40" s="50">
        <v>-1144381.1641859412</v>
      </c>
      <c r="Z40" s="50">
        <v>-775771.53324885666</v>
      </c>
      <c r="AA40" s="50">
        <v>-403064.10538239777</v>
      </c>
      <c r="AB40" s="50">
        <v>-26223.262799687684</v>
      </c>
      <c r="AC40" s="12"/>
    </row>
    <row r="41" spans="2:29" ht="15.95" customHeight="1" x14ac:dyDescent="0.25">
      <c r="B41" s="11"/>
      <c r="C41" s="61" t="s">
        <v>36</v>
      </c>
      <c r="D41" s="61"/>
      <c r="I41" s="12"/>
      <c r="K41" s="11"/>
      <c r="L41" s="16" t="s">
        <v>60</v>
      </c>
      <c r="M41" s="6"/>
      <c r="N41" s="4">
        <f>-$D$21</f>
        <v>-150000</v>
      </c>
      <c r="O41" s="4">
        <f t="shared" ref="O41:R41" si="4">-$D$21</f>
        <v>-150000</v>
      </c>
      <c r="P41" s="4">
        <f t="shared" si="4"/>
        <v>-150000</v>
      </c>
      <c r="Q41" s="4">
        <f t="shared" si="4"/>
        <v>-150000</v>
      </c>
      <c r="R41" s="4">
        <f t="shared" si="4"/>
        <v>-150000</v>
      </c>
      <c r="S41" s="12"/>
      <c r="U41" s="11"/>
      <c r="V41" s="53">
        <v>0.11</v>
      </c>
      <c r="W41" s="50">
        <v>-2502925.434692964</v>
      </c>
      <c r="X41" s="50">
        <v>-2152462.2209218182</v>
      </c>
      <c r="Y41" s="50">
        <v>-1798111.2410610355</v>
      </c>
      <c r="Z41" s="50">
        <v>-1439838.6701849885</v>
      </c>
      <c r="AA41" s="50">
        <v>-1077610.5056227744</v>
      </c>
      <c r="AB41" s="50">
        <v>-711392.56695822999</v>
      </c>
      <c r="AC41" s="12"/>
    </row>
    <row r="42" spans="2:29" ht="15.95" customHeight="1" x14ac:dyDescent="0.25">
      <c r="B42" s="11"/>
      <c r="C42" s="16" t="s">
        <v>12</v>
      </c>
      <c r="D42" s="45">
        <v>1.9</v>
      </c>
      <c r="I42" s="12"/>
      <c r="K42" s="11"/>
      <c r="L42" s="16" t="s">
        <v>61</v>
      </c>
      <c r="M42" s="6"/>
      <c r="N42" s="4">
        <f>-D58*$D$59</f>
        <v>-64000</v>
      </c>
      <c r="O42" s="4">
        <f>-E58*$D$59</f>
        <v>-32000</v>
      </c>
      <c r="P42" s="4">
        <f>-F58*$D$59</f>
        <v>-16000</v>
      </c>
      <c r="Q42" s="4"/>
      <c r="R42" s="4"/>
      <c r="S42" s="12"/>
      <c r="U42" s="11"/>
      <c r="V42" s="53">
        <v>0.12</v>
      </c>
      <c r="W42" s="50">
        <v>-3112654.2583098039</v>
      </c>
      <c r="X42" s="50">
        <v>-2771857.9825529419</v>
      </c>
      <c r="Y42" s="50">
        <v>-2427307.1156512611</v>
      </c>
      <c r="Z42" s="50">
        <v>-2078969.1836709157</v>
      </c>
      <c r="AA42" s="50">
        <v>-1726811.5427463911</v>
      </c>
      <c r="AB42" s="50">
        <v>-1370801.3790805824</v>
      </c>
      <c r="AC42" s="12"/>
    </row>
    <row r="43" spans="2:29" ht="15.95" customHeight="1" x14ac:dyDescent="0.25">
      <c r="B43" s="11"/>
      <c r="C43" s="16" t="s">
        <v>7</v>
      </c>
      <c r="D43" s="42">
        <v>0.02</v>
      </c>
      <c r="I43" s="12"/>
      <c r="K43" s="11"/>
      <c r="L43" s="16" t="s">
        <v>38</v>
      </c>
      <c r="M43" s="6"/>
      <c r="N43" s="4">
        <f>-($D$62+$D$63*M16)*N30*$D$64</f>
        <v>-10000</v>
      </c>
      <c r="O43" s="4">
        <f>-($D$62+$D$63*N16)*O30*$D$64</f>
        <v>-75000</v>
      </c>
      <c r="P43" s="4">
        <f>-($D$62+$D$63*O16)*P30*$D$64</f>
        <v>-76000</v>
      </c>
      <c r="Q43" s="4">
        <f>-($D$62+$D$63*P16)*Q30*$D$64</f>
        <v>-40000</v>
      </c>
      <c r="R43" s="4">
        <f>-($D$62+$D$63*Q16)*R30*$D$64</f>
        <v>-15000</v>
      </c>
      <c r="S43" s="12"/>
      <c r="U43" s="11"/>
      <c r="V43" s="57">
        <v>0.13</v>
      </c>
      <c r="W43" s="50">
        <v>-3699791.8980238996</v>
      </c>
      <c r="X43" s="50">
        <v>-3368291.6242099665</v>
      </c>
      <c r="Y43" s="50">
        <v>-3033164.0871518664</v>
      </c>
      <c r="Z43" s="50">
        <v>-2694378.0980649106</v>
      </c>
      <c r="AA43" s="50">
        <v>-2351902.3056381568</v>
      </c>
      <c r="AB43" s="50">
        <v>-2005705.1960344613</v>
      </c>
      <c r="AC43" s="12"/>
    </row>
    <row r="44" spans="2:29" ht="15.95" customHeight="1" thickBot="1" x14ac:dyDescent="0.3">
      <c r="B44" s="11"/>
      <c r="I44" s="12"/>
      <c r="K44" s="11"/>
      <c r="L44" s="16" t="s">
        <v>22</v>
      </c>
      <c r="M44" s="28"/>
      <c r="N44" s="5">
        <f>$M$20/$D$15</f>
        <v>-5519999.9999999991</v>
      </c>
      <c r="O44" s="5">
        <f>$M$20/$D$15</f>
        <v>-5519999.9999999991</v>
      </c>
      <c r="P44" s="5">
        <f>$M$20/$D$15</f>
        <v>-5519999.9999999991</v>
      </c>
      <c r="Q44" s="5">
        <f>$M$20/$D$15</f>
        <v>-5519999.9999999991</v>
      </c>
      <c r="R44" s="5">
        <f>$M$20/$D$15</f>
        <v>-5519999.9999999991</v>
      </c>
      <c r="S44" s="12"/>
      <c r="U44" s="17"/>
      <c r="V44" s="18"/>
      <c r="W44" s="18"/>
      <c r="X44" s="18"/>
      <c r="Y44" s="18"/>
      <c r="Z44" s="18"/>
      <c r="AA44" s="18"/>
      <c r="AB44" s="18"/>
      <c r="AC44" s="19"/>
    </row>
    <row r="45" spans="2:29" ht="15.95" customHeight="1" x14ac:dyDescent="0.25">
      <c r="B45" s="11"/>
      <c r="C45" s="6" t="s">
        <v>65</v>
      </c>
      <c r="D45" s="42">
        <v>0.02</v>
      </c>
      <c r="I45" s="12"/>
      <c r="K45" s="11"/>
      <c r="L45" s="27" t="s">
        <v>20</v>
      </c>
      <c r="M45" s="32"/>
      <c r="N45" s="3">
        <f>N36+SUM(N38:N44)</f>
        <v>-3241359.9999999991</v>
      </c>
      <c r="O45" s="3">
        <f t="shared" ref="O45:R45" si="5">O36+SUM(O38:O44)</f>
        <v>8967145.8000000007</v>
      </c>
      <c r="P45" s="3">
        <f t="shared" si="5"/>
        <v>5751835.1220000014</v>
      </c>
      <c r="Q45" s="3">
        <f t="shared" si="5"/>
        <v>-932884.67663999833</v>
      </c>
      <c r="R45" s="3">
        <f t="shared" si="5"/>
        <v>-4455227.7767740982</v>
      </c>
      <c r="S45" s="12"/>
    </row>
    <row r="46" spans="2:29" ht="15.95" customHeight="1" x14ac:dyDescent="0.25">
      <c r="B46" s="11"/>
      <c r="I46" s="12"/>
      <c r="K46" s="11"/>
      <c r="L46" s="16" t="s">
        <v>21</v>
      </c>
      <c r="M46" s="28"/>
      <c r="N46" s="5">
        <f>-N45*$D$52</f>
        <v>810339.99999999977</v>
      </c>
      <c r="O46" s="5">
        <f t="shared" ref="O46:R46" si="6">-O45*$D$52</f>
        <v>-2241786.4500000002</v>
      </c>
      <c r="P46" s="5">
        <f t="shared" si="6"/>
        <v>-1437958.7805000003</v>
      </c>
      <c r="Q46" s="5">
        <f t="shared" si="6"/>
        <v>233221.16915999958</v>
      </c>
      <c r="R46" s="5">
        <f t="shared" si="6"/>
        <v>1113806.9441935245</v>
      </c>
      <c r="S46" s="12"/>
    </row>
    <row r="47" spans="2:29" ht="15.95" customHeight="1" x14ac:dyDescent="0.25">
      <c r="B47" s="11"/>
      <c r="C47" s="6" t="s">
        <v>37</v>
      </c>
      <c r="I47" s="12"/>
      <c r="K47" s="11"/>
      <c r="L47" s="27" t="s">
        <v>79</v>
      </c>
      <c r="M47" s="32"/>
      <c r="N47" s="3">
        <f>N45+N46</f>
        <v>-2431019.9999999991</v>
      </c>
      <c r="O47" s="3">
        <f t="shared" ref="O47:R47" si="7">O45+O46</f>
        <v>6725359.3500000006</v>
      </c>
      <c r="P47" s="3">
        <f t="shared" si="7"/>
        <v>4313876.341500001</v>
      </c>
      <c r="Q47" s="3">
        <f t="shared" si="7"/>
        <v>-699663.50747999875</v>
      </c>
      <c r="R47" s="3">
        <f t="shared" si="7"/>
        <v>-3341420.8325805739</v>
      </c>
      <c r="S47" s="12"/>
    </row>
    <row r="48" spans="2:29" ht="15.95" customHeight="1" x14ac:dyDescent="0.25">
      <c r="B48" s="11"/>
      <c r="C48" s="16" t="s">
        <v>72</v>
      </c>
      <c r="D48" s="44">
        <v>3</v>
      </c>
      <c r="I48" s="12"/>
      <c r="K48" s="11"/>
      <c r="L48" s="16" t="s">
        <v>22</v>
      </c>
      <c r="M48" s="28"/>
      <c r="N48" s="5">
        <f>-N44</f>
        <v>5519999.9999999991</v>
      </c>
      <c r="O48" s="5">
        <f t="shared" ref="O48:R48" si="8">-O44</f>
        <v>5519999.9999999991</v>
      </c>
      <c r="P48" s="5">
        <f t="shared" si="8"/>
        <v>5519999.9999999991</v>
      </c>
      <c r="Q48" s="5">
        <f t="shared" si="8"/>
        <v>5519999.9999999991</v>
      </c>
      <c r="R48" s="5">
        <f t="shared" si="8"/>
        <v>5519999.9999999991</v>
      </c>
      <c r="S48" s="12"/>
    </row>
    <row r="49" spans="2:19" ht="15.95" customHeight="1" x14ac:dyDescent="0.25">
      <c r="B49" s="11"/>
      <c r="C49" s="16" t="s">
        <v>73</v>
      </c>
      <c r="D49" s="44">
        <v>6</v>
      </c>
      <c r="I49" s="12"/>
      <c r="K49" s="11"/>
      <c r="L49" s="27" t="s">
        <v>23</v>
      </c>
      <c r="M49" s="32"/>
      <c r="N49" s="3">
        <f>N47+N48</f>
        <v>3088980</v>
      </c>
      <c r="O49" s="3">
        <f t="shared" ref="O49" si="9">O47+O48</f>
        <v>12245359.35</v>
      </c>
      <c r="P49" s="3">
        <f t="shared" ref="P49" si="10">P47+P48</f>
        <v>9833876.3414999992</v>
      </c>
      <c r="Q49" s="3">
        <f t="shared" ref="Q49" si="11">Q47+Q48</f>
        <v>4820336.4925200008</v>
      </c>
      <c r="R49" s="3">
        <f t="shared" ref="R49" si="12">R47+R48</f>
        <v>2178579.1674194252</v>
      </c>
      <c r="S49" s="12"/>
    </row>
    <row r="50" spans="2:19" ht="15.95" customHeight="1" x14ac:dyDescent="0.25">
      <c r="B50" s="11"/>
      <c r="C50" s="16" t="s">
        <v>74</v>
      </c>
      <c r="D50" s="44">
        <v>30</v>
      </c>
      <c r="I50" s="12"/>
      <c r="K50" s="11"/>
      <c r="L50" s="6"/>
      <c r="M50" s="6"/>
      <c r="N50" s="6"/>
      <c r="O50" s="6"/>
      <c r="P50" s="6"/>
      <c r="Q50" s="6"/>
      <c r="R50" s="6"/>
      <c r="S50" s="12"/>
    </row>
    <row r="51" spans="2:19" ht="15.95" customHeight="1" x14ac:dyDescent="0.25">
      <c r="B51" s="11"/>
      <c r="I51" s="12"/>
      <c r="K51" s="11"/>
      <c r="L51" s="25" t="s">
        <v>24</v>
      </c>
      <c r="M51" s="6"/>
      <c r="N51" s="6"/>
      <c r="O51" s="6"/>
      <c r="P51" s="6"/>
      <c r="Q51" s="6"/>
      <c r="R51" s="6"/>
      <c r="S51" s="12"/>
    </row>
    <row r="52" spans="2:19" ht="15.95" customHeight="1" x14ac:dyDescent="0.25">
      <c r="B52" s="11"/>
      <c r="C52" s="6" t="s">
        <v>14</v>
      </c>
      <c r="D52" s="42">
        <v>0.25</v>
      </c>
      <c r="I52" s="12"/>
      <c r="K52" s="11"/>
      <c r="L52" s="6"/>
      <c r="M52" s="6"/>
      <c r="N52" s="6"/>
      <c r="O52" s="6"/>
      <c r="P52" s="6"/>
      <c r="Q52" s="6"/>
      <c r="R52" s="6"/>
      <c r="S52" s="12"/>
    </row>
    <row r="53" spans="2:19" ht="15.95" customHeight="1" x14ac:dyDescent="0.25">
      <c r="B53" s="11"/>
      <c r="I53" s="12"/>
      <c r="K53" s="11"/>
      <c r="L53" s="29" t="s">
        <v>53</v>
      </c>
      <c r="M53" s="6"/>
      <c r="N53" s="4">
        <f>($D$48/365)*N32</f>
        <v>27945.205479452052</v>
      </c>
      <c r="O53" s="4">
        <f>($D$48/365)*O32</f>
        <v>143917.80821917806</v>
      </c>
      <c r="P53" s="4">
        <f>($D$48/365)*P32</f>
        <v>112658.8602739726</v>
      </c>
      <c r="Q53" s="4">
        <f>($D$48/365)*Q32</f>
        <v>48858.368876712331</v>
      </c>
      <c r="R53" s="4">
        <f>($D$48/365)*R32</f>
        <v>15726.287482191783</v>
      </c>
      <c r="S53" s="12"/>
    </row>
    <row r="54" spans="2:19" ht="15.95" customHeight="1" x14ac:dyDescent="0.25">
      <c r="B54" s="11"/>
      <c r="C54" s="6" t="s">
        <v>15</v>
      </c>
      <c r="D54" s="42">
        <v>0.1</v>
      </c>
      <c r="I54" s="12"/>
      <c r="K54" s="11"/>
      <c r="L54" s="29" t="s">
        <v>41</v>
      </c>
      <c r="M54" s="6"/>
      <c r="N54" s="4">
        <f>-($D$49/365)*SUM(N33:N35)</f>
        <v>10427.835616438355</v>
      </c>
      <c r="O54" s="4">
        <f>-($D$49/365)*SUM(O33:O35)</f>
        <v>28786.096438356166</v>
      </c>
      <c r="P54" s="4">
        <f>-($D$49/365)*SUM(P33:P35)</f>
        <v>24711.319199999998</v>
      </c>
      <c r="Q54" s="4">
        <f>-($D$49/365)*SUM(Q33:Q35)</f>
        <v>13925.379337643835</v>
      </c>
      <c r="R54" s="4">
        <f>-($D$49/365)*SUM(R33:R35)</f>
        <v>9762.9029035742478</v>
      </c>
      <c r="S54" s="12"/>
    </row>
    <row r="55" spans="2:19" ht="15.95" customHeight="1" x14ac:dyDescent="0.25">
      <c r="B55" s="11"/>
      <c r="I55" s="12"/>
      <c r="K55" s="11"/>
      <c r="L55" s="29" t="s">
        <v>54</v>
      </c>
      <c r="M55" s="30"/>
      <c r="N55" s="5">
        <f>-($D$50/365)*SUM(N33:N35)</f>
        <v>52139.178082191778</v>
      </c>
      <c r="O55" s="5">
        <f>-($D$50/365)*SUM(O33:O35)</f>
        <v>143930.48219178081</v>
      </c>
      <c r="P55" s="5">
        <f>-($D$50/365)*SUM(P33:P35)</f>
        <v>123556.59600000001</v>
      </c>
      <c r="Q55" s="5">
        <f>-($D$50/365)*SUM(Q33:Q35)</f>
        <v>69626.896688219174</v>
      </c>
      <c r="R55" s="5">
        <f>-($D$50/365)*SUM(R33:R35)</f>
        <v>48814.514517871241</v>
      </c>
      <c r="S55" s="12"/>
    </row>
    <row r="56" spans="2:19" ht="15.95" customHeight="1" x14ac:dyDescent="0.25">
      <c r="B56" s="11"/>
      <c r="C56" s="6" t="s">
        <v>61</v>
      </c>
      <c r="I56" s="12"/>
      <c r="K56" s="11"/>
      <c r="L56" s="16" t="s">
        <v>24</v>
      </c>
      <c r="M56" s="26"/>
      <c r="N56" s="5">
        <f>N53+N54-N55</f>
        <v>-13766.136986301368</v>
      </c>
      <c r="O56" s="5">
        <f t="shared" ref="O56:R56" si="13">O53+O54-O55</f>
        <v>28773.422465753392</v>
      </c>
      <c r="P56" s="5">
        <f t="shared" si="13"/>
        <v>13813.583473972583</v>
      </c>
      <c r="Q56" s="5">
        <f t="shared" si="13"/>
        <v>-6843.1484738630097</v>
      </c>
      <c r="R56" s="5">
        <f t="shared" si="13"/>
        <v>-23325.324132105212</v>
      </c>
      <c r="S56" s="12"/>
    </row>
    <row r="57" spans="2:19" ht="15.95" customHeight="1" x14ac:dyDescent="0.25">
      <c r="B57" s="11"/>
      <c r="D57" s="22" t="s">
        <v>2</v>
      </c>
      <c r="E57" s="22" t="s">
        <v>3</v>
      </c>
      <c r="F57" s="22" t="s">
        <v>4</v>
      </c>
      <c r="I57" s="12"/>
      <c r="K57" s="11"/>
      <c r="L57" s="27" t="s">
        <v>25</v>
      </c>
      <c r="M57" s="3">
        <f>M56-N56</f>
        <v>13766.136986301368</v>
      </c>
      <c r="N57" s="3">
        <f t="shared" ref="N57:R57" si="14">N56-O56</f>
        <v>-42539.55945205476</v>
      </c>
      <c r="O57" s="3">
        <f t="shared" si="14"/>
        <v>14959.838991780809</v>
      </c>
      <c r="P57" s="3">
        <f t="shared" si="14"/>
        <v>20656.731947835593</v>
      </c>
      <c r="Q57" s="3">
        <f t="shared" si="14"/>
        <v>16482.175658242202</v>
      </c>
      <c r="R57" s="3">
        <f t="shared" si="14"/>
        <v>-23325.324132105212</v>
      </c>
      <c r="S57" s="12"/>
    </row>
    <row r="58" spans="2:19" ht="15.95" customHeight="1" x14ac:dyDescent="0.25">
      <c r="B58" s="11"/>
      <c r="C58" s="16" t="s">
        <v>64</v>
      </c>
      <c r="D58" s="41">
        <v>800000</v>
      </c>
      <c r="E58" s="41">
        <v>400000</v>
      </c>
      <c r="F58" s="41">
        <v>200000</v>
      </c>
      <c r="I58" s="12"/>
      <c r="K58" s="11"/>
      <c r="L58" s="6"/>
      <c r="M58" s="6"/>
      <c r="N58" s="6"/>
      <c r="O58" s="6"/>
      <c r="P58" s="6"/>
      <c r="Q58" s="6"/>
      <c r="R58" s="6"/>
      <c r="S58" s="12"/>
    </row>
    <row r="59" spans="2:19" ht="15.95" customHeight="1" x14ac:dyDescent="0.25">
      <c r="B59" s="11"/>
      <c r="C59" s="16" t="s">
        <v>46</v>
      </c>
      <c r="D59" s="42">
        <v>0.08</v>
      </c>
      <c r="I59" s="12"/>
      <c r="K59" s="11"/>
      <c r="L59" s="25" t="s">
        <v>77</v>
      </c>
      <c r="M59" s="6"/>
      <c r="N59" s="6"/>
      <c r="O59" s="6"/>
      <c r="P59" s="6"/>
      <c r="Q59" s="6"/>
      <c r="R59" s="6"/>
      <c r="S59" s="12"/>
    </row>
    <row r="60" spans="2:19" ht="15.95" customHeight="1" x14ac:dyDescent="0.25">
      <c r="B60" s="11"/>
      <c r="I60" s="12"/>
      <c r="K60" s="11"/>
      <c r="L60" s="6"/>
      <c r="M60" s="6"/>
      <c r="N60" s="6"/>
      <c r="O60" s="6"/>
      <c r="P60" s="6"/>
      <c r="Q60" s="6"/>
      <c r="R60" s="6"/>
      <c r="S60" s="12"/>
    </row>
    <row r="61" spans="2:19" ht="15.95" customHeight="1" x14ac:dyDescent="0.25">
      <c r="B61" s="11"/>
      <c r="C61" s="6" t="s">
        <v>38</v>
      </c>
      <c r="I61" s="12"/>
      <c r="K61" s="11"/>
      <c r="L61" s="6" t="s">
        <v>23</v>
      </c>
      <c r="M61" s="6"/>
      <c r="N61" s="4">
        <f>N49</f>
        <v>3088980</v>
      </c>
      <c r="O61" s="4">
        <f>O49</f>
        <v>12245359.35</v>
      </c>
      <c r="P61" s="4">
        <f>P49</f>
        <v>9833876.3414999992</v>
      </c>
      <c r="Q61" s="4">
        <f>Q49</f>
        <v>4820336.4925200008</v>
      </c>
      <c r="R61" s="4">
        <f>R49</f>
        <v>2178579.1674194252</v>
      </c>
      <c r="S61" s="12"/>
    </row>
    <row r="62" spans="2:19" ht="15.95" customHeight="1" x14ac:dyDescent="0.25">
      <c r="B62" s="11"/>
      <c r="C62" s="16" t="s">
        <v>39</v>
      </c>
      <c r="D62" s="41">
        <v>10</v>
      </c>
      <c r="I62" s="12"/>
      <c r="K62" s="11"/>
      <c r="L62" s="16" t="s">
        <v>26</v>
      </c>
      <c r="M62" s="4">
        <f>M20</f>
        <v>-27599999.999999996</v>
      </c>
      <c r="N62" s="30"/>
      <c r="O62" s="30"/>
      <c r="P62" s="30"/>
      <c r="Q62" s="30"/>
      <c r="R62" s="30"/>
      <c r="S62" s="12"/>
    </row>
    <row r="63" spans="2:19" ht="15.95" customHeight="1" x14ac:dyDescent="0.25">
      <c r="B63" s="11"/>
      <c r="C63" s="16" t="s">
        <v>59</v>
      </c>
      <c r="D63" s="41">
        <v>5</v>
      </c>
      <c r="E63" s="37"/>
      <c r="F63" s="37"/>
      <c r="G63" s="37"/>
      <c r="H63" s="37"/>
      <c r="I63" s="12"/>
      <c r="K63" s="11"/>
      <c r="L63" s="35" t="s">
        <v>45</v>
      </c>
      <c r="M63" s="6"/>
      <c r="N63" s="6"/>
      <c r="O63" s="6"/>
      <c r="P63" s="6"/>
      <c r="Q63" s="6"/>
      <c r="R63" s="4">
        <f>R26</f>
        <v>3000000</v>
      </c>
      <c r="S63" s="12"/>
    </row>
    <row r="64" spans="2:19" ht="15.95" customHeight="1" x14ac:dyDescent="0.25">
      <c r="B64" s="11"/>
      <c r="C64" s="16" t="s">
        <v>63</v>
      </c>
      <c r="D64" s="46">
        <v>0.02</v>
      </c>
      <c r="I64" s="12"/>
      <c r="K64" s="11"/>
      <c r="L64" s="16" t="s">
        <v>25</v>
      </c>
      <c r="M64" s="5">
        <f>M57</f>
        <v>13766.136986301368</v>
      </c>
      <c r="N64" s="5">
        <f t="shared" ref="N64:R64" si="15">N57</f>
        <v>-42539.55945205476</v>
      </c>
      <c r="O64" s="5">
        <f t="shared" si="15"/>
        <v>14959.838991780809</v>
      </c>
      <c r="P64" s="5">
        <f t="shared" si="15"/>
        <v>20656.731947835593</v>
      </c>
      <c r="Q64" s="5">
        <f t="shared" si="15"/>
        <v>16482.175658242202</v>
      </c>
      <c r="R64" s="5">
        <f t="shared" si="15"/>
        <v>-23325.324132105212</v>
      </c>
      <c r="S64" s="12"/>
    </row>
    <row r="65" spans="2:20" ht="15.95" customHeight="1" thickBot="1" x14ac:dyDescent="0.3">
      <c r="B65" s="17"/>
      <c r="C65" s="18"/>
      <c r="D65" s="18"/>
      <c r="E65" s="18"/>
      <c r="F65" s="18"/>
      <c r="G65" s="18"/>
      <c r="H65" s="18"/>
      <c r="I65" s="19"/>
      <c r="J65" s="39"/>
      <c r="K65" s="11"/>
      <c r="L65" s="27" t="s">
        <v>27</v>
      </c>
      <c r="M65" s="3">
        <f>SUM(M61:M64)</f>
        <v>-27586233.863013696</v>
      </c>
      <c r="N65" s="3">
        <f t="shared" ref="N65:R65" si="16">SUM(N61:N64)</f>
        <v>3046440.4405479454</v>
      </c>
      <c r="O65" s="3">
        <f t="shared" si="16"/>
        <v>12260319.188991781</v>
      </c>
      <c r="P65" s="3">
        <f t="shared" si="16"/>
        <v>9854533.0734478347</v>
      </c>
      <c r="Q65" s="3">
        <f t="shared" si="16"/>
        <v>4836818.6681782426</v>
      </c>
      <c r="R65" s="3">
        <f t="shared" si="16"/>
        <v>5155253.8432873199</v>
      </c>
      <c r="S65" s="12"/>
      <c r="T65" s="39"/>
    </row>
    <row r="66" spans="2:20" ht="15.95" customHeight="1" thickBot="1" x14ac:dyDescent="0.3">
      <c r="J66" s="39"/>
      <c r="K66" s="17"/>
      <c r="L66" s="18"/>
      <c r="M66" s="18"/>
      <c r="N66" s="18"/>
      <c r="O66" s="18"/>
      <c r="P66" s="18"/>
      <c r="Q66" s="18"/>
      <c r="R66" s="18"/>
      <c r="S66" s="19"/>
      <c r="T66" s="39"/>
    </row>
    <row r="67" spans="2:20" ht="15.95" customHeight="1" x14ac:dyDescent="0.25">
      <c r="J67" s="39"/>
      <c r="K67" s="39"/>
      <c r="L67" s="63"/>
      <c r="M67" s="63"/>
      <c r="N67" s="63"/>
      <c r="O67" s="63"/>
      <c r="P67" s="63"/>
      <c r="Q67" s="63"/>
      <c r="R67" s="63"/>
      <c r="S67" s="40"/>
      <c r="T67" s="39"/>
    </row>
    <row r="68" spans="2:20" ht="15.95" customHeight="1" x14ac:dyDescent="0.25">
      <c r="J68" s="39"/>
      <c r="K68" s="39"/>
      <c r="S68" s="39"/>
      <c r="T68" s="39"/>
    </row>
    <row r="69" spans="2:20" ht="15.95" customHeight="1" x14ac:dyDescent="0.25">
      <c r="C69" s="38"/>
      <c r="D69" s="38"/>
      <c r="E69" s="38"/>
      <c r="F69" s="38"/>
      <c r="G69" s="38"/>
      <c r="J69" s="39"/>
      <c r="K69" s="39"/>
      <c r="S69" s="39"/>
      <c r="T69" s="39"/>
    </row>
    <row r="70" spans="2:20" ht="15.95" customHeight="1" x14ac:dyDescent="0.25">
      <c r="J70" s="39"/>
      <c r="K70" s="39"/>
      <c r="S70" s="39"/>
      <c r="T70" s="39"/>
    </row>
    <row r="71" spans="2:20" ht="15.95" customHeight="1" x14ac:dyDescent="0.25">
      <c r="J71" s="39"/>
      <c r="K71" s="39"/>
      <c r="S71" s="39"/>
      <c r="T71" s="39"/>
    </row>
    <row r="72" spans="2:20" ht="15.95" customHeight="1" x14ac:dyDescent="0.25">
      <c r="J72" s="39"/>
      <c r="K72" s="39"/>
      <c r="S72" s="39"/>
      <c r="T72" s="39"/>
    </row>
    <row r="73" spans="2:20" ht="15.95" customHeight="1" x14ac:dyDescent="0.25">
      <c r="J73" s="39"/>
      <c r="K73" s="39"/>
      <c r="S73" s="39"/>
      <c r="T73" s="39"/>
    </row>
    <row r="74" spans="2:20" ht="15.95" customHeight="1" x14ac:dyDescent="0.25">
      <c r="J74" s="39"/>
      <c r="K74" s="39"/>
      <c r="S74" s="39"/>
      <c r="T74" s="39"/>
    </row>
    <row r="75" spans="2:20" ht="15.95" customHeight="1" x14ac:dyDescent="0.25">
      <c r="J75" s="39"/>
      <c r="K75" s="39"/>
      <c r="S75" s="39"/>
      <c r="T75" s="39"/>
    </row>
    <row r="76" spans="2:20" ht="15.95" customHeight="1" x14ac:dyDescent="0.25">
      <c r="J76" s="39"/>
      <c r="K76" s="39"/>
      <c r="S76" s="39"/>
      <c r="T76" s="39"/>
    </row>
    <row r="77" spans="2:20" ht="15.95" customHeight="1" x14ac:dyDescent="0.25">
      <c r="J77" s="39"/>
      <c r="K77" s="39"/>
      <c r="S77" s="39"/>
      <c r="T77" s="39"/>
    </row>
    <row r="78" spans="2:20" ht="15.95" customHeight="1" x14ac:dyDescent="0.25">
      <c r="J78" s="39"/>
      <c r="K78" s="39"/>
      <c r="S78" s="39"/>
      <c r="T78" s="39"/>
    </row>
    <row r="79" spans="2:20" ht="15.95" customHeight="1" x14ac:dyDescent="0.25">
      <c r="J79" s="39"/>
      <c r="K79" s="39"/>
      <c r="S79" s="39"/>
      <c r="T79" s="39"/>
    </row>
    <row r="80" spans="2:20" ht="15.95" customHeight="1" x14ac:dyDescent="0.25">
      <c r="J80" s="39"/>
      <c r="K80" s="39"/>
      <c r="S80" s="39"/>
      <c r="T80" s="39"/>
    </row>
    <row r="81" spans="10:20" ht="15.95" customHeight="1" x14ac:dyDescent="0.25">
      <c r="J81" s="39"/>
      <c r="K81" s="39"/>
      <c r="S81" s="39"/>
      <c r="T81" s="39"/>
    </row>
    <row r="82" spans="10:20" ht="15.95" customHeight="1" x14ac:dyDescent="0.25">
      <c r="J82" s="39"/>
      <c r="K82" s="39"/>
      <c r="S82" s="39"/>
      <c r="T82" s="39"/>
    </row>
    <row r="83" spans="10:20" ht="15.95" customHeight="1" x14ac:dyDescent="0.25">
      <c r="J83" s="39"/>
      <c r="K83" s="39"/>
      <c r="S83" s="39"/>
      <c r="T83" s="39"/>
    </row>
    <row r="84" spans="10:20" ht="15.95" customHeight="1" x14ac:dyDescent="0.25">
      <c r="J84" s="39"/>
      <c r="K84" s="39"/>
      <c r="S84" s="39"/>
      <c r="T84" s="39"/>
    </row>
    <row r="85" spans="10:20" ht="15.95" customHeight="1" x14ac:dyDescent="0.25">
      <c r="J85" s="39"/>
      <c r="K85" s="39"/>
      <c r="S85" s="39"/>
      <c r="T85" s="39"/>
    </row>
  </sheetData>
  <sheetProtection formatCells="0" formatColumns="0" formatRows="0" insertColumns="0" insertRows="0" insertHyperlinks="0" deleteColumns="0" deleteRows="0" sort="0" autoFilter="0" pivotTables="0"/>
  <mergeCells count="13">
    <mergeCell ref="V3:AB3"/>
    <mergeCell ref="V34:AB34"/>
    <mergeCell ref="V24:AB24"/>
    <mergeCell ref="V14:AB14"/>
    <mergeCell ref="V5:AB5"/>
    <mergeCell ref="C41:D41"/>
    <mergeCell ref="L13:R13"/>
    <mergeCell ref="L67:R67"/>
    <mergeCell ref="C3:H3"/>
    <mergeCell ref="L3:M3"/>
    <mergeCell ref="C14:D14"/>
    <mergeCell ref="C20:D20"/>
    <mergeCell ref="C23:D23"/>
  </mergeCells>
  <conditionalFormatting sqref="M5">
    <cfRule type="cellIs" dxfId="21" priority="17" operator="lessThan">
      <formula>0</formula>
    </cfRule>
    <cfRule type="cellIs" dxfId="20" priority="18" operator="greaterThan">
      <formula>0</formula>
    </cfRule>
  </conditionalFormatting>
  <conditionalFormatting sqref="M7">
    <cfRule type="cellIs" dxfId="19" priority="15" operator="lessThan">
      <formula>$D$54</formula>
    </cfRule>
    <cfRule type="cellIs" dxfId="18" priority="16" operator="greaterThan">
      <formula>$D$54</formula>
    </cfRule>
  </conditionalFormatting>
  <conditionalFormatting sqref="M9">
    <cfRule type="cellIs" dxfId="17" priority="13" operator="lessThan">
      <formula>1</formula>
    </cfRule>
    <cfRule type="cellIs" dxfId="16" priority="14" operator="greaterThan">
      <formula>1</formula>
    </cfRule>
  </conditionalFormatting>
  <conditionalFormatting sqref="W8:W12">
    <cfRule type="cellIs" dxfId="15" priority="11" operator="lessThan">
      <formula>$D$54</formula>
    </cfRule>
    <cfRule type="cellIs" dxfId="14" priority="12" operator="greaterThan">
      <formula>$D$54</formula>
    </cfRule>
  </conditionalFormatting>
  <conditionalFormatting sqref="W17:W22">
    <cfRule type="cellIs" dxfId="13" priority="9" operator="lessThan">
      <formula>$D$54</formula>
    </cfRule>
    <cfRule type="cellIs" dxfId="12" priority="10" operator="greaterThan">
      <formula>$D$54</formula>
    </cfRule>
  </conditionalFormatting>
  <conditionalFormatting sqref="W27:AA32">
    <cfRule type="cellIs" dxfId="11" priority="7" operator="lessThan">
      <formula>$D$54</formula>
    </cfRule>
    <cfRule type="cellIs" dxfId="10" priority="8" operator="greaterThan">
      <formula>$D$54</formula>
    </cfRule>
  </conditionalFormatting>
  <conditionalFormatting sqref="W37:AB42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W43:AB43">
    <cfRule type="cellIs" dxfId="7" priority="1" operator="lessThan">
      <formula>0</formula>
    </cfRule>
    <cfRule type="cellIs" dxfId="6" priority="2" operator="greaterThan">
      <formula>0</formula>
    </cfRule>
  </conditionalFormatting>
  <pageMargins left="0.2" right="0.2" top="0.25" bottom="0.25" header="0.3" footer="0.3"/>
  <pageSetup scale="40" orientation="landscape" verticalDpi="0" r:id="rId1"/>
  <ignoredErrors>
    <ignoredError sqref="M7 N53:R57 M57 M62 N61:R61 M64:R65 R63 M20 R22:R26 N30:R36 N38:R41 N49:R49 N43:R47 N42:P42" unlockedFormula="1"/>
    <ignoredError sqref="N48:R48" formula="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6C62-A45C-4A3D-9638-8411B6823C97}">
  <sheetPr>
    <pageSetUpPr fitToPage="1"/>
  </sheetPr>
  <dimension ref="A1:S85"/>
  <sheetViews>
    <sheetView showGridLines="0" zoomScale="70" zoomScaleNormal="70" workbookViewId="0">
      <selection activeCell="C3" sqref="C3:H3"/>
    </sheetView>
  </sheetViews>
  <sheetFormatPr defaultColWidth="12.7109375" defaultRowHeight="15.95" customHeight="1" x14ac:dyDescent="0.25"/>
  <cols>
    <col min="1" max="2" width="2.7109375" style="6" customWidth="1"/>
    <col min="3" max="3" width="60.7109375" style="6" customWidth="1"/>
    <col min="4" max="8" width="15.7109375" style="6" customWidth="1"/>
    <col min="9" max="9" width="2.7109375" style="6" customWidth="1"/>
    <col min="10" max="11" width="2.7109375" style="7" customWidth="1"/>
    <col min="12" max="12" width="60.7109375" style="7" customWidth="1"/>
    <col min="13" max="18" width="15.7109375" style="7" customWidth="1"/>
    <col min="19" max="19" width="2.7109375" style="7" customWidth="1"/>
    <col min="20" max="16384" width="12.7109375" style="7"/>
  </cols>
  <sheetData>
    <row r="1" spans="2:19" ht="15.95" customHeight="1" thickBot="1" x14ac:dyDescent="0.3"/>
    <row r="2" spans="2:19" ht="15.95" customHeight="1" x14ac:dyDescent="0.25">
      <c r="B2" s="8"/>
      <c r="C2" s="9"/>
      <c r="D2" s="9"/>
      <c r="E2" s="9"/>
      <c r="F2" s="9"/>
      <c r="G2" s="9"/>
      <c r="H2" s="9"/>
      <c r="I2" s="10"/>
      <c r="K2" s="8"/>
      <c r="L2" s="9"/>
      <c r="M2" s="9"/>
      <c r="N2" s="10"/>
    </row>
    <row r="3" spans="2:19" ht="15.95" customHeight="1" x14ac:dyDescent="0.25">
      <c r="B3" s="11"/>
      <c r="C3" s="62" t="s">
        <v>31</v>
      </c>
      <c r="D3" s="62"/>
      <c r="E3" s="62"/>
      <c r="F3" s="62"/>
      <c r="G3" s="62"/>
      <c r="H3" s="62"/>
      <c r="I3" s="12"/>
      <c r="K3" s="11"/>
      <c r="L3" s="62" t="s">
        <v>32</v>
      </c>
      <c r="M3" s="62"/>
      <c r="N3" s="13"/>
    </row>
    <row r="4" spans="2:19" ht="15.95" customHeight="1" x14ac:dyDescent="0.25">
      <c r="B4" s="11"/>
      <c r="I4" s="12"/>
      <c r="K4" s="11"/>
      <c r="L4" s="6"/>
      <c r="M4" s="6"/>
      <c r="N4" s="12"/>
    </row>
    <row r="5" spans="2:19" ht="15.95" customHeight="1" x14ac:dyDescent="0.25">
      <c r="B5" s="11"/>
      <c r="C5" s="6" t="s">
        <v>34</v>
      </c>
      <c r="D5" s="41">
        <v>125000</v>
      </c>
      <c r="I5" s="12"/>
      <c r="K5" s="11"/>
      <c r="L5" s="14" t="s">
        <v>29</v>
      </c>
      <c r="M5" s="50">
        <f>M65+NPV(D54,N65:R65)</f>
        <v>3261068.2742500044</v>
      </c>
      <c r="N5" s="12"/>
    </row>
    <row r="6" spans="2:19" ht="15.95" customHeight="1" x14ac:dyDescent="0.25">
      <c r="B6" s="11"/>
      <c r="I6" s="12"/>
      <c r="K6" s="11"/>
      <c r="L6" s="6"/>
      <c r="M6" s="6"/>
      <c r="N6" s="15"/>
    </row>
    <row r="7" spans="2:19" ht="15.95" customHeight="1" x14ac:dyDescent="0.25">
      <c r="B7" s="11"/>
      <c r="C7" s="6" t="s">
        <v>0</v>
      </c>
      <c r="I7" s="12"/>
      <c r="K7" s="11"/>
      <c r="L7" s="14" t="s">
        <v>30</v>
      </c>
      <c r="M7" s="48">
        <f>IRR(M65:R65)</f>
        <v>0.15239487108180461</v>
      </c>
      <c r="N7" s="15"/>
    </row>
    <row r="8" spans="2:19" ht="15.95" customHeight="1" x14ac:dyDescent="0.25">
      <c r="B8" s="11"/>
      <c r="C8" s="16" t="s">
        <v>9</v>
      </c>
      <c r="D8" s="41">
        <v>68</v>
      </c>
      <c r="I8" s="12"/>
      <c r="K8" s="11"/>
      <c r="L8" s="6"/>
      <c r="M8" s="6"/>
      <c r="N8" s="12"/>
    </row>
    <row r="9" spans="2:19" ht="15.95" customHeight="1" x14ac:dyDescent="0.25">
      <c r="B9" s="11"/>
      <c r="C9" s="16" t="s">
        <v>10</v>
      </c>
      <c r="D9" s="42">
        <v>0.03</v>
      </c>
      <c r="I9" s="20"/>
      <c r="K9" s="11"/>
      <c r="L9" s="14" t="s">
        <v>78</v>
      </c>
      <c r="M9" s="49">
        <f>NPV(D54,N65:R65)/-M65</f>
        <v>1.1359558275331629</v>
      </c>
      <c r="N9" s="12"/>
    </row>
    <row r="10" spans="2:19" ht="15.95" customHeight="1" thickBot="1" x14ac:dyDescent="0.3">
      <c r="B10" s="11"/>
      <c r="I10" s="21"/>
      <c r="K10" s="17"/>
      <c r="L10" s="18"/>
      <c r="M10" s="18"/>
      <c r="N10" s="19"/>
    </row>
    <row r="11" spans="2:19" ht="15.95" customHeight="1" thickBot="1" x14ac:dyDescent="0.3">
      <c r="B11" s="11"/>
      <c r="D11" s="22" t="s">
        <v>2</v>
      </c>
      <c r="E11" s="22" t="s">
        <v>3</v>
      </c>
      <c r="F11" s="22" t="s">
        <v>4</v>
      </c>
      <c r="G11" s="22" t="s">
        <v>5</v>
      </c>
      <c r="H11" s="22" t="s">
        <v>6</v>
      </c>
      <c r="I11" s="12"/>
    </row>
    <row r="12" spans="2:19" ht="15.95" customHeight="1" x14ac:dyDescent="0.25">
      <c r="B12" s="11"/>
      <c r="C12" s="6" t="s">
        <v>1</v>
      </c>
      <c r="D12" s="43">
        <v>50000</v>
      </c>
      <c r="E12" s="43">
        <v>250000</v>
      </c>
      <c r="F12" s="43">
        <v>190000</v>
      </c>
      <c r="G12" s="43">
        <v>80000</v>
      </c>
      <c r="H12" s="43">
        <v>25000</v>
      </c>
      <c r="I12" s="12"/>
      <c r="K12" s="8"/>
      <c r="L12" s="9"/>
      <c r="M12" s="9"/>
      <c r="N12" s="9"/>
      <c r="O12" s="9"/>
      <c r="P12" s="9"/>
      <c r="Q12" s="9"/>
      <c r="R12" s="9"/>
      <c r="S12" s="10"/>
    </row>
    <row r="13" spans="2:19" ht="15.95" customHeight="1" x14ac:dyDescent="0.25">
      <c r="B13" s="11"/>
      <c r="I13" s="12"/>
      <c r="K13" s="11"/>
      <c r="L13" s="62" t="s">
        <v>16</v>
      </c>
      <c r="M13" s="62"/>
      <c r="N13" s="62"/>
      <c r="O13" s="62"/>
      <c r="P13" s="62"/>
      <c r="Q13" s="62"/>
      <c r="R13" s="62"/>
      <c r="S13" s="13"/>
    </row>
    <row r="14" spans="2:19" ht="15.95" customHeight="1" x14ac:dyDescent="0.25">
      <c r="B14" s="11"/>
      <c r="C14" s="61" t="s">
        <v>55</v>
      </c>
      <c r="D14" s="61"/>
      <c r="I14" s="12"/>
      <c r="K14" s="11"/>
      <c r="L14" s="6"/>
      <c r="M14" s="6"/>
      <c r="N14" s="6"/>
      <c r="O14" s="6"/>
      <c r="P14" s="6"/>
      <c r="Q14" s="6"/>
      <c r="R14" s="6"/>
      <c r="S14" s="12"/>
    </row>
    <row r="15" spans="2:19" ht="15.95" customHeight="1" x14ac:dyDescent="0.25">
      <c r="B15" s="11"/>
      <c r="C15" s="16" t="s">
        <v>57</v>
      </c>
      <c r="D15" s="44">
        <v>5</v>
      </c>
      <c r="I15" s="12"/>
      <c r="K15" s="11"/>
      <c r="L15" s="6"/>
      <c r="M15" s="23" t="s">
        <v>18</v>
      </c>
      <c r="N15" s="23" t="s">
        <v>18</v>
      </c>
      <c r="O15" s="23" t="s">
        <v>18</v>
      </c>
      <c r="P15" s="23" t="s">
        <v>18</v>
      </c>
      <c r="Q15" s="23" t="s">
        <v>18</v>
      </c>
      <c r="R15" s="23" t="s">
        <v>18</v>
      </c>
      <c r="S15" s="12"/>
    </row>
    <row r="16" spans="2:19" ht="15.95" customHeight="1" x14ac:dyDescent="0.25">
      <c r="B16" s="11"/>
      <c r="C16" s="16" t="s">
        <v>56</v>
      </c>
      <c r="D16" s="41">
        <v>24000000</v>
      </c>
      <c r="H16" s="47"/>
      <c r="I16" s="12"/>
      <c r="K16" s="11"/>
      <c r="L16" s="6"/>
      <c r="M16" s="24">
        <v>0</v>
      </c>
      <c r="N16" s="24">
        <v>1</v>
      </c>
      <c r="O16" s="24">
        <v>2</v>
      </c>
      <c r="P16" s="24">
        <v>3</v>
      </c>
      <c r="Q16" s="24">
        <v>4</v>
      </c>
      <c r="R16" s="24">
        <v>5</v>
      </c>
      <c r="S16" s="12"/>
    </row>
    <row r="17" spans="2:19" ht="15.95" customHeight="1" x14ac:dyDescent="0.25">
      <c r="B17" s="11"/>
      <c r="C17" s="16" t="s">
        <v>62</v>
      </c>
      <c r="D17" s="58">
        <v>0</v>
      </c>
      <c r="I17" s="12"/>
      <c r="K17" s="11"/>
      <c r="L17" s="6"/>
      <c r="M17" s="6"/>
      <c r="N17" s="6"/>
      <c r="O17" s="6"/>
      <c r="P17" s="6"/>
      <c r="Q17" s="6"/>
      <c r="R17" s="6"/>
      <c r="S17" s="12"/>
    </row>
    <row r="18" spans="2:19" ht="15.95" customHeight="1" x14ac:dyDescent="0.25">
      <c r="B18" s="11"/>
      <c r="C18" s="16" t="s">
        <v>33</v>
      </c>
      <c r="D18" s="41">
        <v>4000000</v>
      </c>
      <c r="I18" s="12"/>
      <c r="K18" s="11"/>
      <c r="L18" s="25" t="s">
        <v>75</v>
      </c>
      <c r="M18" s="6"/>
      <c r="N18" s="6"/>
      <c r="O18" s="6"/>
      <c r="P18" s="6"/>
      <c r="Q18" s="6"/>
      <c r="R18" s="6"/>
      <c r="S18" s="12"/>
    </row>
    <row r="19" spans="2:19" ht="15.95" customHeight="1" x14ac:dyDescent="0.25">
      <c r="B19" s="11"/>
      <c r="I19" s="12"/>
      <c r="K19" s="11"/>
      <c r="L19" s="6"/>
      <c r="M19" s="6"/>
      <c r="N19" s="6"/>
      <c r="O19" s="6"/>
      <c r="P19" s="6"/>
      <c r="Q19" s="6"/>
      <c r="R19" s="6"/>
      <c r="S19" s="12"/>
    </row>
    <row r="20" spans="2:19" ht="15.95" customHeight="1" x14ac:dyDescent="0.25">
      <c r="B20" s="11"/>
      <c r="C20" s="61" t="s">
        <v>8</v>
      </c>
      <c r="D20" s="61"/>
      <c r="I20" s="12"/>
      <c r="K20" s="11"/>
      <c r="L20" s="27" t="s">
        <v>26</v>
      </c>
      <c r="M20" s="59">
        <f>-D16*(1+D17)</f>
        <v>-24000000</v>
      </c>
      <c r="N20" s="32"/>
      <c r="O20" s="32"/>
      <c r="P20" s="32"/>
      <c r="Q20" s="32"/>
      <c r="R20" s="32"/>
      <c r="S20" s="12"/>
    </row>
    <row r="21" spans="2:19" ht="15.95" customHeight="1" x14ac:dyDescent="0.25">
      <c r="B21" s="11"/>
      <c r="C21" s="16" t="s">
        <v>47</v>
      </c>
      <c r="D21" s="41">
        <v>150000</v>
      </c>
      <c r="I21" s="12"/>
      <c r="K21" s="11"/>
      <c r="L21" s="6"/>
      <c r="M21" s="6"/>
      <c r="N21" s="6"/>
      <c r="O21" s="6"/>
      <c r="P21" s="6"/>
      <c r="Q21" s="6"/>
      <c r="R21" s="6"/>
      <c r="S21" s="12"/>
    </row>
    <row r="22" spans="2:19" ht="15.95" customHeight="1" x14ac:dyDescent="0.25">
      <c r="B22" s="11"/>
      <c r="I22" s="12"/>
      <c r="K22" s="11"/>
      <c r="L22" s="34" t="s">
        <v>42</v>
      </c>
      <c r="M22" s="30"/>
      <c r="N22" s="30"/>
      <c r="O22" s="30"/>
      <c r="P22" s="30"/>
      <c r="Q22" s="30"/>
      <c r="R22" s="4">
        <f>D18</f>
        <v>4000000</v>
      </c>
      <c r="S22" s="12"/>
    </row>
    <row r="23" spans="2:19" ht="15.95" customHeight="1" x14ac:dyDescent="0.25">
      <c r="B23" s="11"/>
      <c r="C23" s="61" t="s">
        <v>35</v>
      </c>
      <c r="D23" s="61"/>
      <c r="I23" s="12"/>
      <c r="K23" s="11"/>
      <c r="L23" s="35" t="s">
        <v>43</v>
      </c>
      <c r="M23" s="30"/>
      <c r="N23" s="30"/>
      <c r="O23" s="30"/>
      <c r="P23" s="30"/>
      <c r="Q23" s="30"/>
      <c r="R23" s="5">
        <f>-M20+SUM(N44:R44)</f>
        <v>0</v>
      </c>
      <c r="S23" s="12"/>
    </row>
    <row r="24" spans="2:19" ht="15.95" customHeight="1" x14ac:dyDescent="0.25">
      <c r="B24" s="11"/>
      <c r="C24" s="16" t="s">
        <v>11</v>
      </c>
      <c r="I24" s="12"/>
      <c r="K24" s="11"/>
      <c r="L24" s="34" t="s">
        <v>44</v>
      </c>
      <c r="M24" s="30"/>
      <c r="N24" s="30"/>
      <c r="O24" s="30"/>
      <c r="P24" s="30"/>
      <c r="Q24" s="30"/>
      <c r="R24" s="4">
        <f>R22-R23</f>
        <v>4000000</v>
      </c>
      <c r="S24" s="12"/>
    </row>
    <row r="25" spans="2:19" ht="15.95" customHeight="1" x14ac:dyDescent="0.25">
      <c r="B25" s="11"/>
      <c r="C25" s="29" t="s">
        <v>12</v>
      </c>
      <c r="D25" s="45">
        <v>4.25</v>
      </c>
      <c r="I25" s="12"/>
      <c r="K25" s="11"/>
      <c r="L25" s="35" t="s">
        <v>21</v>
      </c>
      <c r="M25" s="30"/>
      <c r="N25" s="30"/>
      <c r="O25" s="30"/>
      <c r="P25" s="30"/>
      <c r="Q25" s="30"/>
      <c r="R25" s="5">
        <f>-D52*R24</f>
        <v>-1000000</v>
      </c>
      <c r="S25" s="12"/>
    </row>
    <row r="26" spans="2:19" ht="15.95" customHeight="1" x14ac:dyDescent="0.25">
      <c r="B26" s="11"/>
      <c r="C26" s="29" t="s">
        <v>7</v>
      </c>
      <c r="D26" s="42">
        <v>0.02</v>
      </c>
      <c r="I26" s="12"/>
      <c r="K26" s="11"/>
      <c r="L26" s="36" t="s">
        <v>45</v>
      </c>
      <c r="M26" s="32"/>
      <c r="N26" s="32"/>
      <c r="O26" s="32"/>
      <c r="P26" s="32"/>
      <c r="Q26" s="32"/>
      <c r="R26" s="3">
        <f>R24+R25</f>
        <v>3000000</v>
      </c>
      <c r="S26" s="12"/>
    </row>
    <row r="27" spans="2:19" ht="15.95" customHeight="1" x14ac:dyDescent="0.25">
      <c r="B27" s="11"/>
      <c r="C27" s="16" t="s">
        <v>48</v>
      </c>
      <c r="I27" s="12"/>
      <c r="K27" s="11"/>
      <c r="S27" s="12"/>
    </row>
    <row r="28" spans="2:19" ht="15.95" customHeight="1" x14ac:dyDescent="0.25">
      <c r="B28" s="11"/>
      <c r="C28" s="29" t="s">
        <v>12</v>
      </c>
      <c r="D28" s="45">
        <v>0.45</v>
      </c>
      <c r="I28" s="12"/>
      <c r="K28" s="11"/>
      <c r="L28" s="25" t="s">
        <v>76</v>
      </c>
      <c r="M28" s="6"/>
      <c r="N28" s="6"/>
      <c r="O28" s="6"/>
      <c r="P28" s="6"/>
      <c r="Q28" s="6"/>
      <c r="R28" s="6"/>
      <c r="S28" s="12"/>
    </row>
    <row r="29" spans="2:19" ht="15.95" customHeight="1" x14ac:dyDescent="0.25">
      <c r="B29" s="11"/>
      <c r="C29" s="29" t="s">
        <v>7</v>
      </c>
      <c r="D29" s="42">
        <v>0.01</v>
      </c>
      <c r="I29" s="12"/>
      <c r="K29" s="11"/>
      <c r="L29" s="6"/>
      <c r="M29" s="6"/>
      <c r="N29" s="6"/>
      <c r="O29" s="6"/>
      <c r="P29" s="6"/>
      <c r="Q29" s="6"/>
      <c r="R29" s="6"/>
      <c r="S29" s="12"/>
    </row>
    <row r="30" spans="2:19" ht="15.95" customHeight="1" x14ac:dyDescent="0.25">
      <c r="B30" s="11"/>
      <c r="C30" s="16" t="s">
        <v>49</v>
      </c>
      <c r="D30" s="31"/>
      <c r="I30" s="12"/>
      <c r="K30" s="11"/>
      <c r="L30" s="16" t="s">
        <v>1</v>
      </c>
      <c r="M30" s="6"/>
      <c r="N30" s="1">
        <f>D12</f>
        <v>50000</v>
      </c>
      <c r="O30" s="1">
        <f>E12</f>
        <v>250000</v>
      </c>
      <c r="P30" s="1">
        <f>F12</f>
        <v>190000</v>
      </c>
      <c r="Q30" s="1">
        <f>G12</f>
        <v>80000</v>
      </c>
      <c r="R30" s="1">
        <f>H12</f>
        <v>25000</v>
      </c>
      <c r="S30" s="12"/>
    </row>
    <row r="31" spans="2:19" ht="15.95" customHeight="1" x14ac:dyDescent="0.25">
      <c r="B31" s="11"/>
      <c r="C31" s="29" t="s">
        <v>50</v>
      </c>
      <c r="D31" s="43">
        <v>100000</v>
      </c>
      <c r="I31" s="20"/>
      <c r="K31" s="11"/>
      <c r="L31" s="16" t="s">
        <v>28</v>
      </c>
      <c r="M31" s="26"/>
      <c r="N31" s="2">
        <f>D8</f>
        <v>68</v>
      </c>
      <c r="O31" s="2">
        <f>N31*(1+$D$9)</f>
        <v>70.040000000000006</v>
      </c>
      <c r="P31" s="2">
        <f t="shared" ref="P31:R31" si="0">O31*(1+$D$9)</f>
        <v>72.141200000000012</v>
      </c>
      <c r="Q31" s="2">
        <f t="shared" si="0"/>
        <v>74.305436000000014</v>
      </c>
      <c r="R31" s="2">
        <f t="shared" si="0"/>
        <v>76.534599080000021</v>
      </c>
      <c r="S31" s="12"/>
    </row>
    <row r="32" spans="2:19" ht="15.95" customHeight="1" x14ac:dyDescent="0.25">
      <c r="B32" s="11"/>
      <c r="C32" s="29" t="s">
        <v>51</v>
      </c>
      <c r="D32" s="43">
        <v>6</v>
      </c>
      <c r="I32" s="20"/>
      <c r="K32" s="11"/>
      <c r="L32" s="27" t="s">
        <v>17</v>
      </c>
      <c r="M32" s="27"/>
      <c r="N32" s="3">
        <f>N30*N31</f>
        <v>3400000</v>
      </c>
      <c r="O32" s="3">
        <f t="shared" ref="O32:R32" si="1">O30*O31</f>
        <v>17510000</v>
      </c>
      <c r="P32" s="3">
        <f t="shared" si="1"/>
        <v>13706828.000000002</v>
      </c>
      <c r="Q32" s="3">
        <f t="shared" si="1"/>
        <v>5944434.8800000008</v>
      </c>
      <c r="R32" s="3">
        <f t="shared" si="1"/>
        <v>1913364.9770000004</v>
      </c>
      <c r="S32" s="12"/>
    </row>
    <row r="33" spans="2:19" ht="15.95" customHeight="1" x14ac:dyDescent="0.25">
      <c r="B33" s="11"/>
      <c r="C33" s="29" t="s">
        <v>52</v>
      </c>
      <c r="D33" s="43">
        <v>8</v>
      </c>
      <c r="I33" s="21"/>
      <c r="K33" s="11"/>
      <c r="L33" s="16" t="s">
        <v>11</v>
      </c>
      <c r="M33" s="6"/>
      <c r="N33" s="4">
        <f>-$D$25*(1+$D$26)^M16*N30</f>
        <v>-212500</v>
      </c>
      <c r="O33" s="4">
        <f>-$D$25*(1+$D$26)^N16*O30</f>
        <v>-1083750</v>
      </c>
      <c r="P33" s="4">
        <f>-$D$25*(1+$D$26)^O16*P30</f>
        <v>-840122.99999999988</v>
      </c>
      <c r="Q33" s="4">
        <f>-$D$25*(1+$D$26)^P16*Q30</f>
        <v>-360810.72</v>
      </c>
      <c r="R33" s="4">
        <f>-$D$25*(1+$D$26)^Q16*R30</f>
        <v>-115008.417</v>
      </c>
      <c r="S33" s="12"/>
    </row>
    <row r="34" spans="2:19" ht="15.95" customHeight="1" x14ac:dyDescent="0.25">
      <c r="B34" s="11"/>
      <c r="C34" s="29" t="s">
        <v>13</v>
      </c>
      <c r="D34" s="43">
        <v>2080</v>
      </c>
      <c r="I34" s="12"/>
      <c r="K34" s="11"/>
      <c r="L34" s="16" t="s">
        <v>48</v>
      </c>
      <c r="M34" s="6"/>
      <c r="N34" s="4">
        <f>-$D$28*(1+$D$29)^M16*N30</f>
        <v>-22500</v>
      </c>
      <c r="O34" s="4">
        <f>-$D$28*(1+$D$29)^N16*O30</f>
        <v>-113625</v>
      </c>
      <c r="P34" s="4">
        <f>-$D$28*(1+$D$29)^O16*P30</f>
        <v>-87218.55</v>
      </c>
      <c r="Q34" s="4">
        <f>-$D$28*(1+$D$29)^P16*Q30</f>
        <v>-37090.835999999996</v>
      </c>
      <c r="R34" s="4">
        <f>-$D$28*(1+$D$29)^Q16*R30</f>
        <v>-11706.7951125</v>
      </c>
      <c r="S34" s="12"/>
    </row>
    <row r="35" spans="2:19" ht="15.95" customHeight="1" x14ac:dyDescent="0.25">
      <c r="B35" s="11"/>
      <c r="C35" s="29" t="s">
        <v>58</v>
      </c>
      <c r="D35" s="45">
        <v>32</v>
      </c>
      <c r="I35" s="12"/>
      <c r="K35" s="11"/>
      <c r="L35" s="16" t="s">
        <v>49</v>
      </c>
      <c r="M35" s="28"/>
      <c r="N35" s="5">
        <f>-IF(N30&lt;$D$31,$D$32,$D$33)*$D$34*$D$35*(1+$D$36)^M16</f>
        <v>-399360</v>
      </c>
      <c r="O35" s="5">
        <f>-IF(O30&lt;$D$31,$D$32,$D$33)*$D$34*$D$35*(1+$D$36)^N16</f>
        <v>-553779.20000000007</v>
      </c>
      <c r="P35" s="5">
        <f>-IF(P30&lt;$D$31,$D$32,$D$33)*$D$34*$D$35*(1+$D$36)^O16</f>
        <v>-575930.36800000002</v>
      </c>
      <c r="Q35" s="5">
        <f>-IF(Q30&lt;$D$31,$D$32,$D$33)*$D$34*$D$35*(1+$D$36)^P16</f>
        <v>-449225.68704000005</v>
      </c>
      <c r="R35" s="5">
        <f>-IF(R30&lt;$D$31,$D$32,$D$33)*$D$34*$D$35*(1+$D$36)^Q16</f>
        <v>-467194.71452160011</v>
      </c>
      <c r="S35" s="12"/>
    </row>
    <row r="36" spans="2:19" ht="15.95" customHeight="1" x14ac:dyDescent="0.25">
      <c r="B36" s="11"/>
      <c r="C36" s="29" t="s">
        <v>7</v>
      </c>
      <c r="D36" s="42">
        <v>0.04</v>
      </c>
      <c r="I36" s="12"/>
      <c r="K36" s="11"/>
      <c r="L36" s="27" t="s">
        <v>19</v>
      </c>
      <c r="M36" s="27"/>
      <c r="N36" s="3">
        <f>SUM(N32:N35)</f>
        <v>2765640</v>
      </c>
      <c r="O36" s="3">
        <f t="shared" ref="O36:R36" si="2">SUM(O32:O35)</f>
        <v>15758845.800000001</v>
      </c>
      <c r="P36" s="3">
        <f t="shared" si="2"/>
        <v>12203556.082</v>
      </c>
      <c r="Q36" s="3">
        <f t="shared" si="2"/>
        <v>5097307.6369600007</v>
      </c>
      <c r="R36" s="3">
        <f t="shared" si="2"/>
        <v>1319455.0503659004</v>
      </c>
      <c r="S36" s="12"/>
    </row>
    <row r="37" spans="2:19" ht="15.95" customHeight="1" x14ac:dyDescent="0.25">
      <c r="B37" s="11"/>
      <c r="I37" s="12"/>
      <c r="K37" s="11"/>
      <c r="L37" s="16" t="s">
        <v>34</v>
      </c>
      <c r="M37" s="4"/>
      <c r="N37" s="39"/>
      <c r="O37" s="39"/>
      <c r="P37" s="39"/>
      <c r="Q37" s="39"/>
      <c r="R37" s="39"/>
      <c r="S37" s="12"/>
    </row>
    <row r="38" spans="2:19" ht="15.95" customHeight="1" x14ac:dyDescent="0.25">
      <c r="B38" s="11"/>
      <c r="D38" s="22" t="s">
        <v>2</v>
      </c>
      <c r="E38" s="22" t="s">
        <v>3</v>
      </c>
      <c r="F38" s="22" t="s">
        <v>4</v>
      </c>
      <c r="G38" s="22" t="s">
        <v>5</v>
      </c>
      <c r="H38" s="22" t="s">
        <v>6</v>
      </c>
      <c r="I38" s="20"/>
      <c r="K38" s="11"/>
      <c r="L38" s="16" t="s">
        <v>40</v>
      </c>
      <c r="M38" s="6"/>
      <c r="N38" s="4">
        <f>-D39</f>
        <v>-100000</v>
      </c>
      <c r="O38" s="4">
        <f>-E39</f>
        <v>-180000</v>
      </c>
      <c r="P38" s="4">
        <f>-F39</f>
        <v>-40000</v>
      </c>
      <c r="Q38" s="4">
        <f>-G39</f>
        <v>-40000</v>
      </c>
      <c r="R38" s="4">
        <f>-H39</f>
        <v>0</v>
      </c>
      <c r="S38" s="12"/>
    </row>
    <row r="39" spans="2:19" ht="15.95" customHeight="1" x14ac:dyDescent="0.25">
      <c r="B39" s="11"/>
      <c r="C39" s="6" t="s">
        <v>40</v>
      </c>
      <c r="D39" s="41">
        <v>100000</v>
      </c>
      <c r="E39" s="41">
        <v>180000</v>
      </c>
      <c r="F39" s="41">
        <v>40000</v>
      </c>
      <c r="G39" s="41">
        <v>40000</v>
      </c>
      <c r="H39" s="41">
        <v>0</v>
      </c>
      <c r="I39" s="33"/>
      <c r="K39" s="11"/>
      <c r="L39" s="16" t="s">
        <v>36</v>
      </c>
      <c r="M39" s="6"/>
      <c r="N39" s="4">
        <f>-$D$42*(1+$D$43)^M16*N30</f>
        <v>-95000</v>
      </c>
      <c r="O39" s="4">
        <f>-$D$42*(1+$D$43)^N16*O30</f>
        <v>-484500</v>
      </c>
      <c r="P39" s="4">
        <f>-$D$42*(1+$D$43)^O16*P30</f>
        <v>-375584.39999999997</v>
      </c>
      <c r="Q39" s="4">
        <f>-$D$42*(1+$D$43)^P16*Q30</f>
        <v>-161303.61599999998</v>
      </c>
      <c r="R39" s="4">
        <f>-$D$42*(1+$D$43)^Q16*R30</f>
        <v>-51415.527600000001</v>
      </c>
      <c r="S39" s="12"/>
    </row>
    <row r="40" spans="2:19" ht="15.95" customHeight="1" x14ac:dyDescent="0.25">
      <c r="B40" s="11"/>
      <c r="I40" s="12"/>
      <c r="K40" s="11"/>
      <c r="L40" s="16" t="s">
        <v>66</v>
      </c>
      <c r="M40" s="6"/>
      <c r="N40" s="60"/>
      <c r="O40" s="60"/>
      <c r="P40" s="60"/>
      <c r="Q40" s="60"/>
      <c r="R40" s="60"/>
      <c r="S40" s="12"/>
    </row>
    <row r="41" spans="2:19" ht="15.95" customHeight="1" x14ac:dyDescent="0.25">
      <c r="B41" s="11"/>
      <c r="C41" s="61" t="s">
        <v>36</v>
      </c>
      <c r="D41" s="61"/>
      <c r="I41" s="12"/>
      <c r="K41" s="11"/>
      <c r="L41" s="16" t="s">
        <v>60</v>
      </c>
      <c r="M41" s="6"/>
      <c r="N41" s="60"/>
      <c r="O41" s="60"/>
      <c r="P41" s="60"/>
      <c r="Q41" s="60"/>
      <c r="R41" s="60"/>
      <c r="S41" s="12"/>
    </row>
    <row r="42" spans="2:19" ht="15.95" customHeight="1" x14ac:dyDescent="0.25">
      <c r="B42" s="11"/>
      <c r="C42" s="16" t="s">
        <v>12</v>
      </c>
      <c r="D42" s="45">
        <v>1.9</v>
      </c>
      <c r="I42" s="12"/>
      <c r="K42" s="11"/>
      <c r="L42" s="16" t="s">
        <v>61</v>
      </c>
      <c r="M42" s="6"/>
      <c r="N42" s="60"/>
      <c r="O42" s="60"/>
      <c r="P42" s="60"/>
      <c r="Q42" s="4"/>
      <c r="R42" s="4"/>
      <c r="S42" s="12"/>
    </row>
    <row r="43" spans="2:19" ht="15.95" customHeight="1" x14ac:dyDescent="0.25">
      <c r="B43" s="11"/>
      <c r="C43" s="16" t="s">
        <v>7</v>
      </c>
      <c r="D43" s="42">
        <v>0.02</v>
      </c>
      <c r="I43" s="12"/>
      <c r="K43" s="11"/>
      <c r="L43" s="16" t="s">
        <v>38</v>
      </c>
      <c r="M43" s="6"/>
      <c r="N43" s="60"/>
      <c r="O43" s="60"/>
      <c r="P43" s="60"/>
      <c r="Q43" s="60"/>
      <c r="R43" s="60"/>
      <c r="S43" s="12"/>
    </row>
    <row r="44" spans="2:19" ht="15.95" customHeight="1" x14ac:dyDescent="0.25">
      <c r="B44" s="11"/>
      <c r="I44" s="12"/>
      <c r="K44" s="11"/>
      <c r="L44" s="16" t="s">
        <v>22</v>
      </c>
      <c r="M44" s="28"/>
      <c r="N44" s="5">
        <f>$M$20/$D$15</f>
        <v>-4800000</v>
      </c>
      <c r="O44" s="5">
        <f>$M$20/$D$15</f>
        <v>-4800000</v>
      </c>
      <c r="P44" s="5">
        <f>$M$20/$D$15</f>
        <v>-4800000</v>
      </c>
      <c r="Q44" s="5">
        <f>$M$20/$D$15</f>
        <v>-4800000</v>
      </c>
      <c r="R44" s="5">
        <f>$M$20/$D$15</f>
        <v>-4800000</v>
      </c>
      <c r="S44" s="12"/>
    </row>
    <row r="45" spans="2:19" ht="15.95" customHeight="1" x14ac:dyDescent="0.25">
      <c r="B45" s="11"/>
      <c r="C45" s="6" t="s">
        <v>65</v>
      </c>
      <c r="D45" s="42">
        <v>0.02</v>
      </c>
      <c r="I45" s="12"/>
      <c r="K45" s="11"/>
      <c r="L45" s="27" t="s">
        <v>20</v>
      </c>
      <c r="M45" s="32"/>
      <c r="N45" s="3">
        <f>N36+SUM(N38:N44)</f>
        <v>-2229360</v>
      </c>
      <c r="O45" s="3">
        <f t="shared" ref="O45:R45" si="3">O36+SUM(O38:O44)</f>
        <v>10294345.800000001</v>
      </c>
      <c r="P45" s="3">
        <f t="shared" si="3"/>
        <v>6987971.682</v>
      </c>
      <c r="Q45" s="3">
        <f t="shared" si="3"/>
        <v>96004.020960000344</v>
      </c>
      <c r="R45" s="3">
        <f t="shared" si="3"/>
        <v>-3531960.4772340991</v>
      </c>
      <c r="S45" s="12"/>
    </row>
    <row r="46" spans="2:19" ht="15.95" customHeight="1" x14ac:dyDescent="0.25">
      <c r="B46" s="11"/>
      <c r="I46" s="12"/>
      <c r="K46" s="11"/>
      <c r="L46" s="16" t="s">
        <v>21</v>
      </c>
      <c r="M46" s="28"/>
      <c r="N46" s="5">
        <f>-N45*$D$52</f>
        <v>557340</v>
      </c>
      <c r="O46" s="5">
        <f t="shared" ref="O46:R46" si="4">-O45*$D$52</f>
        <v>-2573586.4500000002</v>
      </c>
      <c r="P46" s="5">
        <f t="shared" si="4"/>
        <v>-1746992.9205</v>
      </c>
      <c r="Q46" s="5">
        <f t="shared" si="4"/>
        <v>-24001.005240000086</v>
      </c>
      <c r="R46" s="5">
        <f t="shared" si="4"/>
        <v>882990.11930852477</v>
      </c>
      <c r="S46" s="12"/>
    </row>
    <row r="47" spans="2:19" ht="15.95" customHeight="1" x14ac:dyDescent="0.25">
      <c r="B47" s="11"/>
      <c r="C47" s="6" t="s">
        <v>37</v>
      </c>
      <c r="I47" s="12"/>
      <c r="K47" s="11"/>
      <c r="L47" s="27" t="s">
        <v>79</v>
      </c>
      <c r="M47" s="32"/>
      <c r="N47" s="3">
        <f>N45+N46</f>
        <v>-1672020</v>
      </c>
      <c r="O47" s="3">
        <f t="shared" ref="O47:R47" si="5">O45+O46</f>
        <v>7720759.3500000006</v>
      </c>
      <c r="P47" s="3">
        <f t="shared" si="5"/>
        <v>5240978.7615</v>
      </c>
      <c r="Q47" s="3">
        <f t="shared" si="5"/>
        <v>72003.015720000258</v>
      </c>
      <c r="R47" s="3">
        <f t="shared" si="5"/>
        <v>-2648970.3579255743</v>
      </c>
      <c r="S47" s="12"/>
    </row>
    <row r="48" spans="2:19" ht="15.95" customHeight="1" x14ac:dyDescent="0.25">
      <c r="B48" s="11"/>
      <c r="C48" s="16" t="s">
        <v>72</v>
      </c>
      <c r="D48" s="44">
        <v>3</v>
      </c>
      <c r="I48" s="12"/>
      <c r="K48" s="11"/>
      <c r="L48" s="16" t="s">
        <v>22</v>
      </c>
      <c r="M48" s="28"/>
      <c r="N48" s="5">
        <f>-N44</f>
        <v>4800000</v>
      </c>
      <c r="O48" s="5">
        <f t="shared" ref="O48:R48" si="6">-O44</f>
        <v>4800000</v>
      </c>
      <c r="P48" s="5">
        <f t="shared" si="6"/>
        <v>4800000</v>
      </c>
      <c r="Q48" s="5">
        <f t="shared" si="6"/>
        <v>4800000</v>
      </c>
      <c r="R48" s="5">
        <f t="shared" si="6"/>
        <v>4800000</v>
      </c>
      <c r="S48" s="12"/>
    </row>
    <row r="49" spans="2:19" ht="15.95" customHeight="1" x14ac:dyDescent="0.25">
      <c r="B49" s="11"/>
      <c r="C49" s="16" t="s">
        <v>73</v>
      </c>
      <c r="D49" s="44">
        <v>6</v>
      </c>
      <c r="I49" s="12"/>
      <c r="K49" s="11"/>
      <c r="L49" s="27" t="s">
        <v>23</v>
      </c>
      <c r="M49" s="32"/>
      <c r="N49" s="3">
        <f>N47+N48</f>
        <v>3127980</v>
      </c>
      <c r="O49" s="3">
        <f t="shared" ref="O49:R49" si="7">O47+O48</f>
        <v>12520759.350000001</v>
      </c>
      <c r="P49" s="3">
        <f t="shared" si="7"/>
        <v>10040978.761500001</v>
      </c>
      <c r="Q49" s="3">
        <f t="shared" si="7"/>
        <v>4872003.0157200005</v>
      </c>
      <c r="R49" s="3">
        <f t="shared" si="7"/>
        <v>2151029.6420744257</v>
      </c>
      <c r="S49" s="12"/>
    </row>
    <row r="50" spans="2:19" ht="15.95" customHeight="1" x14ac:dyDescent="0.25">
      <c r="B50" s="11"/>
      <c r="C50" s="16" t="s">
        <v>74</v>
      </c>
      <c r="D50" s="44">
        <v>30</v>
      </c>
      <c r="I50" s="12"/>
      <c r="K50" s="11"/>
      <c r="L50" s="6"/>
      <c r="M50" s="6"/>
      <c r="N50" s="6"/>
      <c r="O50" s="6"/>
      <c r="P50" s="6"/>
      <c r="Q50" s="6"/>
      <c r="R50" s="6"/>
      <c r="S50" s="12"/>
    </row>
    <row r="51" spans="2:19" ht="15.95" customHeight="1" x14ac:dyDescent="0.25">
      <c r="B51" s="11"/>
      <c r="I51" s="12"/>
      <c r="K51" s="11"/>
      <c r="L51" s="25" t="s">
        <v>24</v>
      </c>
      <c r="M51" s="6"/>
      <c r="N51" s="6"/>
      <c r="O51" s="6"/>
      <c r="P51" s="6"/>
      <c r="Q51" s="6"/>
      <c r="R51" s="6"/>
      <c r="S51" s="12"/>
    </row>
    <row r="52" spans="2:19" ht="15.95" customHeight="1" x14ac:dyDescent="0.25">
      <c r="B52" s="11"/>
      <c r="C52" s="6" t="s">
        <v>14</v>
      </c>
      <c r="D52" s="42">
        <v>0.25</v>
      </c>
      <c r="I52" s="12"/>
      <c r="K52" s="11"/>
      <c r="L52" s="6"/>
      <c r="M52" s="6"/>
      <c r="N52" s="6"/>
      <c r="O52" s="6"/>
      <c r="P52" s="6"/>
      <c r="Q52" s="6"/>
      <c r="R52" s="6"/>
      <c r="S52" s="12"/>
    </row>
    <row r="53" spans="2:19" ht="15.95" customHeight="1" x14ac:dyDescent="0.25">
      <c r="B53" s="11"/>
      <c r="I53" s="12"/>
      <c r="K53" s="11"/>
      <c r="L53" s="29" t="s">
        <v>53</v>
      </c>
      <c r="M53" s="6"/>
      <c r="N53" s="4">
        <f>($D$48/365)*N32</f>
        <v>27945.205479452052</v>
      </c>
      <c r="O53" s="4">
        <f>($D$48/365)*O32</f>
        <v>143917.80821917806</v>
      </c>
      <c r="P53" s="4">
        <f>($D$48/365)*P32</f>
        <v>112658.8602739726</v>
      </c>
      <c r="Q53" s="4">
        <f>($D$48/365)*Q32</f>
        <v>48858.368876712331</v>
      </c>
      <c r="R53" s="4">
        <f>($D$48/365)*R32</f>
        <v>15726.287482191783</v>
      </c>
      <c r="S53" s="12"/>
    </row>
    <row r="54" spans="2:19" ht="15.95" customHeight="1" x14ac:dyDescent="0.25">
      <c r="B54" s="11"/>
      <c r="C54" s="6" t="s">
        <v>15</v>
      </c>
      <c r="D54" s="42">
        <v>0.1</v>
      </c>
      <c r="I54" s="12"/>
      <c r="K54" s="11"/>
      <c r="L54" s="29" t="s">
        <v>41</v>
      </c>
      <c r="M54" s="6"/>
      <c r="N54" s="4">
        <f>-($D$49/365)*SUM(N33:N35)</f>
        <v>10427.835616438355</v>
      </c>
      <c r="O54" s="4">
        <f>-($D$49/365)*SUM(O33:O35)</f>
        <v>28786.096438356166</v>
      </c>
      <c r="P54" s="4">
        <f>-($D$49/365)*SUM(P33:P35)</f>
        <v>24711.319199999998</v>
      </c>
      <c r="Q54" s="4">
        <f>-($D$49/365)*SUM(Q33:Q35)</f>
        <v>13925.379337643835</v>
      </c>
      <c r="R54" s="4">
        <f>-($D$49/365)*SUM(R33:R35)</f>
        <v>9762.9029035742478</v>
      </c>
      <c r="S54" s="12"/>
    </row>
    <row r="55" spans="2:19" ht="15.95" customHeight="1" x14ac:dyDescent="0.25">
      <c r="B55" s="11"/>
      <c r="I55" s="12"/>
      <c r="K55" s="11"/>
      <c r="L55" s="29" t="s">
        <v>54</v>
      </c>
      <c r="M55" s="30"/>
      <c r="N55" s="5">
        <f>-($D$50/365)*SUM(N33:N35)</f>
        <v>52139.178082191778</v>
      </c>
      <c r="O55" s="5">
        <f>-($D$50/365)*SUM(O33:O35)</f>
        <v>143930.48219178081</v>
      </c>
      <c r="P55" s="5">
        <f>-($D$50/365)*SUM(P33:P35)</f>
        <v>123556.59600000001</v>
      </c>
      <c r="Q55" s="5">
        <f>-($D$50/365)*SUM(Q33:Q35)</f>
        <v>69626.896688219174</v>
      </c>
      <c r="R55" s="5">
        <f>-($D$50/365)*SUM(R33:R35)</f>
        <v>48814.514517871241</v>
      </c>
      <c r="S55" s="12"/>
    </row>
    <row r="56" spans="2:19" ht="15.95" customHeight="1" x14ac:dyDescent="0.25">
      <c r="B56" s="11"/>
      <c r="C56" s="6" t="s">
        <v>61</v>
      </c>
      <c r="I56" s="12"/>
      <c r="K56" s="11"/>
      <c r="L56" s="16" t="s">
        <v>24</v>
      </c>
      <c r="M56" s="26"/>
      <c r="N56" s="5">
        <f>N53+N54-N55</f>
        <v>-13766.136986301368</v>
      </c>
      <c r="O56" s="5">
        <f t="shared" ref="O56:R56" si="8">O53+O54-O55</f>
        <v>28773.422465753392</v>
      </c>
      <c r="P56" s="5">
        <f t="shared" si="8"/>
        <v>13813.583473972583</v>
      </c>
      <c r="Q56" s="5">
        <f t="shared" si="8"/>
        <v>-6843.1484738630097</v>
      </c>
      <c r="R56" s="5">
        <f t="shared" si="8"/>
        <v>-23325.324132105212</v>
      </c>
      <c r="S56" s="12"/>
    </row>
    <row r="57" spans="2:19" ht="15.95" customHeight="1" x14ac:dyDescent="0.25">
      <c r="B57" s="11"/>
      <c r="D57" s="22" t="s">
        <v>2</v>
      </c>
      <c r="E57" s="22" t="s">
        <v>3</v>
      </c>
      <c r="F57" s="22" t="s">
        <v>4</v>
      </c>
      <c r="I57" s="12"/>
      <c r="K57" s="11"/>
      <c r="L57" s="27" t="s">
        <v>25</v>
      </c>
      <c r="M57" s="3">
        <f>M56-N56</f>
        <v>13766.136986301368</v>
      </c>
      <c r="N57" s="3">
        <f t="shared" ref="N57:R57" si="9">N56-O56</f>
        <v>-42539.55945205476</v>
      </c>
      <c r="O57" s="3">
        <f t="shared" si="9"/>
        <v>14959.838991780809</v>
      </c>
      <c r="P57" s="3">
        <f t="shared" si="9"/>
        <v>20656.731947835593</v>
      </c>
      <c r="Q57" s="3">
        <f t="shared" si="9"/>
        <v>16482.175658242202</v>
      </c>
      <c r="R57" s="3">
        <f t="shared" si="9"/>
        <v>-23325.324132105212</v>
      </c>
      <c r="S57" s="12"/>
    </row>
    <row r="58" spans="2:19" ht="15.95" customHeight="1" x14ac:dyDescent="0.25">
      <c r="B58" s="11"/>
      <c r="C58" s="16" t="s">
        <v>64</v>
      </c>
      <c r="D58" s="41">
        <v>800000</v>
      </c>
      <c r="E58" s="41">
        <v>400000</v>
      </c>
      <c r="F58" s="41">
        <v>200000</v>
      </c>
      <c r="I58" s="12"/>
      <c r="K58" s="11"/>
      <c r="L58" s="6"/>
      <c r="M58" s="6"/>
      <c r="N58" s="6"/>
      <c r="O58" s="6"/>
      <c r="P58" s="6"/>
      <c r="Q58" s="6"/>
      <c r="R58" s="6"/>
      <c r="S58" s="12"/>
    </row>
    <row r="59" spans="2:19" ht="15.95" customHeight="1" x14ac:dyDescent="0.25">
      <c r="B59" s="11"/>
      <c r="C59" s="16" t="s">
        <v>46</v>
      </c>
      <c r="D59" s="42">
        <v>0.08</v>
      </c>
      <c r="I59" s="12"/>
      <c r="K59" s="11"/>
      <c r="L59" s="25" t="s">
        <v>77</v>
      </c>
      <c r="M59" s="6"/>
      <c r="N59" s="6"/>
      <c r="O59" s="6"/>
      <c r="P59" s="6"/>
      <c r="Q59" s="6"/>
      <c r="R59" s="6"/>
      <c r="S59" s="12"/>
    </row>
    <row r="60" spans="2:19" ht="15.95" customHeight="1" x14ac:dyDescent="0.25">
      <c r="B60" s="11"/>
      <c r="I60" s="12"/>
      <c r="K60" s="11"/>
      <c r="L60" s="6"/>
      <c r="M60" s="6"/>
      <c r="N60" s="6"/>
      <c r="O60" s="6"/>
      <c r="P60" s="6"/>
      <c r="Q60" s="6"/>
      <c r="R60" s="6"/>
      <c r="S60" s="12"/>
    </row>
    <row r="61" spans="2:19" ht="15.95" customHeight="1" x14ac:dyDescent="0.25">
      <c r="B61" s="11"/>
      <c r="C61" s="6" t="s">
        <v>38</v>
      </c>
      <c r="I61" s="12"/>
      <c r="K61" s="11"/>
      <c r="L61" s="6" t="s">
        <v>23</v>
      </c>
      <c r="M61" s="6"/>
      <c r="N61" s="4">
        <f>N49</f>
        <v>3127980</v>
      </c>
      <c r="O61" s="4">
        <f>O49</f>
        <v>12520759.350000001</v>
      </c>
      <c r="P61" s="4">
        <f>P49</f>
        <v>10040978.761500001</v>
      </c>
      <c r="Q61" s="4">
        <f>Q49</f>
        <v>4872003.0157200005</v>
      </c>
      <c r="R61" s="4">
        <f>R49</f>
        <v>2151029.6420744257</v>
      </c>
      <c r="S61" s="12"/>
    </row>
    <row r="62" spans="2:19" ht="15.95" customHeight="1" x14ac:dyDescent="0.25">
      <c r="B62" s="11"/>
      <c r="C62" s="16" t="s">
        <v>39</v>
      </c>
      <c r="D62" s="41">
        <v>10</v>
      </c>
      <c r="I62" s="12"/>
      <c r="K62" s="11"/>
      <c r="L62" s="16" t="s">
        <v>26</v>
      </c>
      <c r="M62" s="4">
        <f>M20</f>
        <v>-24000000</v>
      </c>
      <c r="N62" s="30"/>
      <c r="O62" s="30"/>
      <c r="P62" s="30"/>
      <c r="Q62" s="30"/>
      <c r="R62" s="30"/>
      <c r="S62" s="12"/>
    </row>
    <row r="63" spans="2:19" ht="15.95" customHeight="1" x14ac:dyDescent="0.25">
      <c r="B63" s="11"/>
      <c r="C63" s="16" t="s">
        <v>59</v>
      </c>
      <c r="D63" s="41">
        <v>5</v>
      </c>
      <c r="E63" s="37"/>
      <c r="F63" s="37"/>
      <c r="G63" s="37"/>
      <c r="H63" s="37"/>
      <c r="I63" s="12"/>
      <c r="K63" s="11"/>
      <c r="L63" s="35" t="s">
        <v>45</v>
      </c>
      <c r="M63" s="6"/>
      <c r="N63" s="6"/>
      <c r="O63" s="6"/>
      <c r="P63" s="6"/>
      <c r="Q63" s="6"/>
      <c r="R63" s="4">
        <f>R26</f>
        <v>3000000</v>
      </c>
      <c r="S63" s="12"/>
    </row>
    <row r="64" spans="2:19" ht="15.95" customHeight="1" x14ac:dyDescent="0.25">
      <c r="B64" s="11"/>
      <c r="C64" s="16" t="s">
        <v>63</v>
      </c>
      <c r="D64" s="46">
        <v>0.02</v>
      </c>
      <c r="I64" s="12"/>
      <c r="K64" s="11"/>
      <c r="L64" s="16" t="s">
        <v>25</v>
      </c>
      <c r="M64" s="5">
        <f>M57</f>
        <v>13766.136986301368</v>
      </c>
      <c r="N64" s="5">
        <f t="shared" ref="N64:R64" si="10">N57</f>
        <v>-42539.55945205476</v>
      </c>
      <c r="O64" s="5">
        <f t="shared" si="10"/>
        <v>14959.838991780809</v>
      </c>
      <c r="P64" s="5">
        <f t="shared" si="10"/>
        <v>20656.731947835593</v>
      </c>
      <c r="Q64" s="5">
        <f t="shared" si="10"/>
        <v>16482.175658242202</v>
      </c>
      <c r="R64" s="5">
        <f t="shared" si="10"/>
        <v>-23325.324132105212</v>
      </c>
      <c r="S64" s="12"/>
    </row>
    <row r="65" spans="2:19" ht="15.95" customHeight="1" thickBot="1" x14ac:dyDescent="0.3">
      <c r="B65" s="17"/>
      <c r="C65" s="18"/>
      <c r="D65" s="18"/>
      <c r="E65" s="18"/>
      <c r="F65" s="18"/>
      <c r="G65" s="18"/>
      <c r="H65" s="18"/>
      <c r="I65" s="19"/>
      <c r="J65" s="39"/>
      <c r="K65" s="11"/>
      <c r="L65" s="27" t="s">
        <v>27</v>
      </c>
      <c r="M65" s="3">
        <f>SUM(M61:M64)</f>
        <v>-23986233.8630137</v>
      </c>
      <c r="N65" s="3">
        <f t="shared" ref="N65:R65" si="11">SUM(N61:N64)</f>
        <v>3085440.4405479454</v>
      </c>
      <c r="O65" s="3">
        <f t="shared" si="11"/>
        <v>12535719.188991783</v>
      </c>
      <c r="P65" s="3">
        <f t="shared" si="11"/>
        <v>10061635.493447836</v>
      </c>
      <c r="Q65" s="3">
        <f t="shared" si="11"/>
        <v>4888485.1913782423</v>
      </c>
      <c r="R65" s="3">
        <f t="shared" si="11"/>
        <v>5127704.3179423204</v>
      </c>
      <c r="S65" s="12"/>
    </row>
    <row r="66" spans="2:19" ht="15.95" customHeight="1" thickBot="1" x14ac:dyDescent="0.3">
      <c r="J66" s="39"/>
      <c r="K66" s="17"/>
      <c r="L66" s="18"/>
      <c r="M66" s="18"/>
      <c r="N66" s="18"/>
      <c r="O66" s="18"/>
      <c r="P66" s="18"/>
      <c r="Q66" s="18"/>
      <c r="R66" s="18"/>
      <c r="S66" s="19"/>
    </row>
    <row r="67" spans="2:19" ht="15.95" customHeight="1" x14ac:dyDescent="0.25">
      <c r="J67" s="39"/>
      <c r="K67" s="39"/>
      <c r="L67" s="63"/>
      <c r="M67" s="63"/>
      <c r="N67" s="63"/>
      <c r="O67" s="63"/>
      <c r="P67" s="63"/>
      <c r="Q67" s="63"/>
      <c r="R67" s="63"/>
      <c r="S67" s="40"/>
    </row>
    <row r="68" spans="2:19" ht="15.95" customHeight="1" x14ac:dyDescent="0.25">
      <c r="J68" s="39"/>
      <c r="K68" s="39"/>
      <c r="S68" s="39"/>
    </row>
    <row r="69" spans="2:19" ht="15.95" customHeight="1" x14ac:dyDescent="0.25">
      <c r="C69" s="38"/>
      <c r="D69" s="38"/>
      <c r="E69" s="38"/>
      <c r="F69" s="38"/>
      <c r="G69" s="38"/>
      <c r="J69" s="39"/>
      <c r="K69" s="39"/>
      <c r="S69" s="39"/>
    </row>
    <row r="70" spans="2:19" ht="15.95" customHeight="1" x14ac:dyDescent="0.25">
      <c r="J70" s="39"/>
      <c r="K70" s="39"/>
      <c r="S70" s="39"/>
    </row>
    <row r="71" spans="2:19" ht="15.95" customHeight="1" x14ac:dyDescent="0.25">
      <c r="J71" s="39"/>
      <c r="K71" s="39"/>
      <c r="S71" s="39"/>
    </row>
    <row r="72" spans="2:19" ht="15.95" customHeight="1" x14ac:dyDescent="0.25">
      <c r="J72" s="39"/>
      <c r="K72" s="39"/>
      <c r="S72" s="39"/>
    </row>
    <row r="73" spans="2:19" ht="15.95" customHeight="1" x14ac:dyDescent="0.25">
      <c r="J73" s="39"/>
      <c r="K73" s="39"/>
      <c r="S73" s="39"/>
    </row>
    <row r="74" spans="2:19" ht="15.95" customHeight="1" x14ac:dyDescent="0.25">
      <c r="J74" s="39"/>
      <c r="K74" s="39"/>
      <c r="S74" s="39"/>
    </row>
    <row r="75" spans="2:19" ht="15.95" customHeight="1" x14ac:dyDescent="0.25">
      <c r="J75" s="39"/>
      <c r="K75" s="39"/>
      <c r="S75" s="39"/>
    </row>
    <row r="76" spans="2:19" ht="15.95" customHeight="1" x14ac:dyDescent="0.25">
      <c r="J76" s="39"/>
      <c r="K76" s="39"/>
      <c r="S76" s="39"/>
    </row>
    <row r="77" spans="2:19" ht="15.95" customHeight="1" x14ac:dyDescent="0.25">
      <c r="J77" s="39"/>
      <c r="K77" s="39"/>
      <c r="S77" s="39"/>
    </row>
    <row r="78" spans="2:19" ht="15.95" customHeight="1" x14ac:dyDescent="0.25">
      <c r="J78" s="39"/>
      <c r="K78" s="39"/>
      <c r="S78" s="39"/>
    </row>
    <row r="79" spans="2:19" ht="15.95" customHeight="1" x14ac:dyDescent="0.25">
      <c r="J79" s="39"/>
      <c r="K79" s="39"/>
      <c r="S79" s="39"/>
    </row>
    <row r="80" spans="2:19" ht="15.95" customHeight="1" x14ac:dyDescent="0.25">
      <c r="J80" s="39"/>
      <c r="K80" s="39"/>
      <c r="S80" s="39"/>
    </row>
    <row r="81" spans="10:19" ht="15.95" customHeight="1" x14ac:dyDescent="0.25">
      <c r="J81" s="39"/>
      <c r="K81" s="39"/>
      <c r="S81" s="39"/>
    </row>
    <row r="82" spans="10:19" ht="15.95" customHeight="1" x14ac:dyDescent="0.25">
      <c r="J82" s="39"/>
      <c r="K82" s="39"/>
      <c r="S82" s="39"/>
    </row>
    <row r="83" spans="10:19" ht="15.95" customHeight="1" x14ac:dyDescent="0.25">
      <c r="J83" s="39"/>
      <c r="K83" s="39"/>
      <c r="S83" s="39"/>
    </row>
    <row r="84" spans="10:19" ht="15.95" customHeight="1" x14ac:dyDescent="0.25">
      <c r="J84" s="39"/>
      <c r="K84" s="39"/>
      <c r="S84" s="39"/>
    </row>
    <row r="85" spans="10:19" ht="15.95" customHeight="1" x14ac:dyDescent="0.25">
      <c r="J85" s="39"/>
      <c r="K85" s="39"/>
      <c r="S85" s="39"/>
    </row>
  </sheetData>
  <sheetProtection formatCells="0" formatColumns="0" formatRows="0" insertColumns="0" insertRows="0" insertHyperlinks="0" deleteColumns="0" deleteRows="0" sort="0" autoFilter="0" pivotTables="0"/>
  <mergeCells count="8">
    <mergeCell ref="C20:D20"/>
    <mergeCell ref="C23:D23"/>
    <mergeCell ref="C41:D41"/>
    <mergeCell ref="L67:R67"/>
    <mergeCell ref="C3:H3"/>
    <mergeCell ref="L3:M3"/>
    <mergeCell ref="L13:R13"/>
    <mergeCell ref="C14:D14"/>
  </mergeCells>
  <conditionalFormatting sqref="M5">
    <cfRule type="cellIs" dxfId="5" priority="15" operator="lessThan">
      <formula>0</formula>
    </cfRule>
    <cfRule type="cellIs" dxfId="4" priority="16" operator="greaterThan">
      <formula>0</formula>
    </cfRule>
  </conditionalFormatting>
  <conditionalFormatting sqref="M7">
    <cfRule type="cellIs" dxfId="3" priority="13" operator="lessThan">
      <formula>$D$54</formula>
    </cfRule>
    <cfRule type="cellIs" dxfId="2" priority="14" operator="greaterThan">
      <formula>$D$54</formula>
    </cfRule>
  </conditionalFormatting>
  <conditionalFormatting sqref="M9">
    <cfRule type="cellIs" dxfId="1" priority="11" operator="lessThan">
      <formula>1</formula>
    </cfRule>
    <cfRule type="cellIs" dxfId="0" priority="12" operator="greaterThan">
      <formula>1</formula>
    </cfRule>
  </conditionalFormatting>
  <pageMargins left="0.2" right="0.2" top="0.25" bottom="0.25" header="0.3" footer="0.3"/>
  <pageSetup scale="40" orientation="landscape" verticalDpi="0" r:id="rId1"/>
  <ignoredErrors>
    <ignoredError sqref="L7:R39 L44:R46 L40:M40 L41:M41 L42:M42 L43:M43 L49:R66 L48:M48 M47:R47" unlockedFormula="1"/>
    <ignoredError sqref="N48:R48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Scenario</vt:lpstr>
      <vt:lpstr>Cash Cost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Pecherot</dc:creator>
  <cp:lastModifiedBy>Barbara Pecherot</cp:lastModifiedBy>
  <cp:lastPrinted>2024-09-23T22:34:43Z</cp:lastPrinted>
  <dcterms:created xsi:type="dcterms:W3CDTF">2023-07-17T17:52:13Z</dcterms:created>
  <dcterms:modified xsi:type="dcterms:W3CDTF">2025-09-07T22:59:14Z</dcterms:modified>
</cp:coreProperties>
</file>